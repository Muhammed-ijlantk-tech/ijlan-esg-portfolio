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ijlan\Downloads\"/>
    </mc:Choice>
  </mc:AlternateContent>
  <xr:revisionPtr revIDLastSave="0" documentId="8_{FE7EE0D7-7D94-4DF0-A9F3-548422FFD1E7}" xr6:coauthVersionLast="47" xr6:coauthVersionMax="47" xr10:uidLastSave="{00000000-0000-0000-0000-000000000000}"/>
  <bookViews>
    <workbookView xWindow="0" yWindow="90" windowWidth="19200" windowHeight="10080" xr2:uid="{7FE3F7E5-FA89-4F55-92EF-E6EC1FAC8702}"/>
  </bookViews>
  <sheets>
    <sheet name="01 Source Register" sheetId="2" r:id="rId1"/>
    <sheet name="02 Emission Factors" sheetId="3" r:id="rId2"/>
    <sheet name="03 Calculations" sheetId="4" r:id="rId3"/>
    <sheet name="04 Notes Assumptions" sheetId="5"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3" i="4" l="1"/>
  <c r="D27" i="4"/>
  <c r="E33" i="4"/>
  <c r="D33" i="4"/>
  <c r="D34" i="4"/>
  <c r="D35" i="4"/>
  <c r="B37" i="4"/>
  <c r="G16" i="4"/>
  <c r="F16" i="4"/>
  <c r="F17" i="4"/>
  <c r="G17" i="4"/>
  <c r="H17" i="4"/>
  <c r="F18" i="4"/>
  <c r="F19" i="4"/>
  <c r="G19" i="4"/>
  <c r="H19" i="4"/>
  <c r="F20" i="4"/>
  <c r="F21" i="4"/>
  <c r="G21" i="4"/>
  <c r="H21" i="4"/>
  <c r="E25" i="4"/>
  <c r="E26" i="4"/>
  <c r="E27" i="4"/>
  <c r="D2" i="4"/>
  <c r="F2" i="4" s="1"/>
  <c r="G2" i="4" s="1"/>
  <c r="C9" i="4"/>
  <c r="C10" i="4"/>
  <c r="E10" i="4" s="1"/>
  <c r="G10" i="4" s="1"/>
  <c r="H10" i="4" s="1"/>
  <c r="C11" i="4"/>
  <c r="E11" i="4" s="1"/>
  <c r="G11" i="4" s="1"/>
  <c r="H11" i="4" s="1"/>
  <c r="D3" i="4"/>
  <c r="F3" i="4" s="1"/>
  <c r="G3" i="4" s="1"/>
  <c r="D4" i="4"/>
  <c r="F4" i="4" s="1"/>
  <c r="G4" i="4" s="1"/>
  <c r="D32" i="2"/>
  <c r="D31" i="2"/>
  <c r="D30" i="2"/>
  <c r="B27" i="4" l="1"/>
  <c r="B26" i="4"/>
  <c r="F22" i="4"/>
  <c r="C25" i="4" s="1"/>
  <c r="H20" i="4"/>
  <c r="H18" i="4"/>
  <c r="H16" i="4"/>
  <c r="G20" i="4"/>
  <c r="G18" i="4"/>
  <c r="E9" i="4"/>
  <c r="H22" i="4" l="1"/>
  <c r="C27" i="4" s="1"/>
  <c r="G9" i="4"/>
  <c r="H9" i="4" s="1"/>
  <c r="B25" i="4"/>
  <c r="G22" i="4"/>
  <c r="C26" i="4" s="1"/>
  <c r="D26" i="4" s="1"/>
  <c r="F26" i="4" l="1"/>
  <c r="G26" i="4" s="1"/>
  <c r="E34" i="4"/>
  <c r="F34" i="4" s="1"/>
  <c r="D25" i="4"/>
  <c r="E35" i="4"/>
  <c r="F35" i="4" s="1"/>
  <c r="F25" i="4" l="1"/>
  <c r="G25" i="4" s="1"/>
  <c r="F27" i="4"/>
  <c r="G27" i="4" s="1"/>
</calcChain>
</file>

<file path=xl/sharedStrings.xml><?xml version="1.0" encoding="utf-8"?>
<sst xmlns="http://schemas.openxmlformats.org/spreadsheetml/2006/main" count="515" uniqueCount="218">
  <si>
    <t>Scope</t>
  </si>
  <si>
    <t>Category</t>
  </si>
  <si>
    <t>Value</t>
  </si>
  <si>
    <t>Unit</t>
  </si>
  <si>
    <t>Document</t>
  </si>
  <si>
    <t>Page</t>
  </si>
  <si>
    <t>Notes</t>
  </si>
  <si>
    <t>GHG-001</t>
  </si>
  <si>
    <t>Scope 1</t>
  </si>
  <si>
    <t>Direct emissions</t>
  </si>
  <si>
    <t>tCO2e</t>
  </si>
  <si>
    <t>FY2025</t>
  </si>
  <si>
    <t>Infosys ESG Data Book 2024–25</t>
  </si>
  <si>
    <t>https://www.infosys.com/sustainability/documents/infosys-esg-databook-2024-25.pdf</t>
  </si>
  <si>
    <t>Owned offices (India, US, China) and leased offices in India</t>
  </si>
  <si>
    <t>GHG-002</t>
  </si>
  <si>
    <t>FY2024</t>
  </si>
  <si>
    <t>GHG-003</t>
  </si>
  <si>
    <t>FY2023</t>
  </si>
  <si>
    <t>GHG-004</t>
  </si>
  <si>
    <t>Scope 2</t>
  </si>
  <si>
    <t>Purchased electricity</t>
  </si>
  <si>
    <t>India and overseas; some overseas leased offices estimated from energy-intensity benchmarks</t>
  </si>
  <si>
    <t>GHG-005</t>
  </si>
  <si>
    <t>GHG-006</t>
  </si>
  <si>
    <t>GHG-007</t>
  </si>
  <si>
    <t>Scope 3</t>
  </si>
  <si>
    <t>Business travel</t>
  </si>
  <si>
    <t>GHG Protocol Category 6; method on page 39</t>
  </si>
  <si>
    <t>GHG-008</t>
  </si>
  <si>
    <t>GHG-009</t>
  </si>
  <si>
    <t>GHG-010</t>
  </si>
  <si>
    <t>Employee commute</t>
  </si>
  <si>
    <t>GHG Protocol Category 7; data covers owned locations only (footnote 3)</t>
  </si>
  <si>
    <t>GHG-011</t>
  </si>
  <si>
    <t>GHG-012</t>
  </si>
  <si>
    <t>GHG-013</t>
  </si>
  <si>
    <t>Transmission and distribution (T&amp;D) losses</t>
  </si>
  <si>
    <t>GHG Protocol Category 3 (3.c); method on page 39</t>
  </si>
  <si>
    <t>GHG-014</t>
  </si>
  <si>
    <t>GHG-015</t>
  </si>
  <si>
    <t>GHG-016</t>
  </si>
  <si>
    <t>Upstream leased assets</t>
  </si>
  <si>
    <t>GHG Protocol Category 8; LPG and charcoal in food courts (footnote 4)</t>
  </si>
  <si>
    <t>GHG-017</t>
  </si>
  <si>
    <t>GHG-018</t>
  </si>
  <si>
    <t>GHG-019</t>
  </si>
  <si>
    <t>Waste generated in operations</t>
  </si>
  <si>
    <t>GHG Protocol Category 5; method on page 39</t>
  </si>
  <si>
    <t>GHG-020</t>
  </si>
  <si>
    <t>GHG-021</t>
  </si>
  <si>
    <t>GHG-022</t>
  </si>
  <si>
    <t>Work from home emissions</t>
  </si>
  <si>
    <t>Reported under Category 16 (Others); estimated from employee survey (page 40)</t>
  </si>
  <si>
    <t>GHG-023</t>
  </si>
  <si>
    <t>GHG-024</t>
  </si>
  <si>
    <t>GHG-025</t>
  </si>
  <si>
    <t>Capital goods</t>
  </si>
  <si>
    <t>GHG Protocol Category 2; spend-based, adjusted for inflation (footnote 5)</t>
  </si>
  <si>
    <t>GHG-026</t>
  </si>
  <si>
    <t>GHG-027</t>
  </si>
  <si>
    <t>FY23 Total (1+2+3)</t>
  </si>
  <si>
    <t>FY24 Total (1+2+3)</t>
  </si>
  <si>
    <t>FY25 Total (1+2+3)</t>
  </si>
  <si>
    <t>Factor</t>
  </si>
  <si>
    <t>Reference</t>
  </si>
  <si>
    <t>EF-001</t>
  </si>
  <si>
    <t>High Speed Diesel (HSD)</t>
  </si>
  <si>
    <t>tCO2e/TJ</t>
  </si>
  <si>
    <t>IPCC Guidelines for National GHG Inventories</t>
  </si>
  <si>
    <t>Stationary combustion in diesel generators</t>
  </si>
  <si>
    <t>EF-002</t>
  </si>
  <si>
    <t>Diesel – company-owned vehicles</t>
  </si>
  <si>
    <t>EF-003</t>
  </si>
  <si>
    <t>Petrol – company-owned vehicles</t>
  </si>
  <si>
    <t>EF-004</t>
  </si>
  <si>
    <t>Piped Natural Gas (PNG)</t>
  </si>
  <si>
    <t>EF-005</t>
  </si>
  <si>
    <t>Biogas</t>
  </si>
  <si>
    <t>kgCO2e/tonne</t>
  </si>
  <si>
    <t>Latest applicable DEFRA values</t>
  </si>
  <si>
    <t>Biogenic emissions are reported separately (page 33)</t>
  </si>
  <si>
    <t>EF-006</t>
  </si>
  <si>
    <t>Refrigerant – R22</t>
  </si>
  <si>
    <t>kgCO2e/kg</t>
  </si>
  <si>
    <t>IPCC Sixth Assessment Report</t>
  </si>
  <si>
    <t>Fugitive emissions from air conditioning</t>
  </si>
  <si>
    <t>EF-007</t>
  </si>
  <si>
    <t>Refrigerant – R407C</t>
  </si>
  <si>
    <t>EF-008</t>
  </si>
  <si>
    <t>Refrigerant – R134A</t>
  </si>
  <si>
    <t>EF-009</t>
  </si>
  <si>
    <t>Refrigerant – R410A</t>
  </si>
  <si>
    <t>EF-010</t>
  </si>
  <si>
    <t>Refrigerant – R404A</t>
  </si>
  <si>
    <t>EF-011</t>
  </si>
  <si>
    <t>Refrigerant – R32</t>
  </si>
  <si>
    <t>EF-012</t>
  </si>
  <si>
    <t>Refrigerant – HFO-1233zd(E)</t>
  </si>
  <si>
    <t>EF-013</t>
  </si>
  <si>
    <t>SF6</t>
  </si>
  <si>
    <t>Fugitive emissions from electrical circuit breakers</t>
  </si>
  <si>
    <t>EF-014</t>
  </si>
  <si>
    <t>Electricity – India grid</t>
  </si>
  <si>
    <t>kgCO2e/kWh</t>
  </si>
  <si>
    <t>CEA CO2 Baseline Database for the Indian Power Sector – 2023</t>
  </si>
  <si>
    <t>EF-015</t>
  </si>
  <si>
    <t>Electricity – China</t>
  </si>
  <si>
    <t>Carbon Database Initiative (CaDI)</t>
  </si>
  <si>
    <t>EF-016</t>
  </si>
  <si>
    <t>Electricity – US</t>
  </si>
  <si>
    <t>Latest applicable US EPA values</t>
  </si>
  <si>
    <t>EF-017</t>
  </si>
  <si>
    <t>Electricity – overseas locations</t>
  </si>
  <si>
    <t>Latest applicable DEFRA values, DCCEEW values and CaDI</t>
  </si>
  <si>
    <t>No single value published; left blank, not zero</t>
  </si>
  <si>
    <t>EF-018</t>
  </si>
  <si>
    <t>Employee commute – local train</t>
  </si>
  <si>
    <t>kgCO2e/passenger-km</t>
  </si>
  <si>
    <t>India GHG Program</t>
  </si>
  <si>
    <t>EF-019</t>
  </si>
  <si>
    <t>Employee commute – metro</t>
  </si>
  <si>
    <t>TERI Report (metro transport emissions)</t>
  </si>
  <si>
    <t>EF-020</t>
  </si>
  <si>
    <t>Employee commute – auto rickshaw</t>
  </si>
  <si>
    <t>kgCO2e/km</t>
  </si>
  <si>
    <t>EF-021</t>
  </si>
  <si>
    <t>Employee commute – bus</t>
  </si>
  <si>
    <t>EF-022</t>
  </si>
  <si>
    <t>Employee commute – taxi</t>
  </si>
  <si>
    <t>EF-023</t>
  </si>
  <si>
    <t>Employee commute – CNG</t>
  </si>
  <si>
    <t>Fiscal Year</t>
  </si>
  <si>
    <t>Grid Electricity kWh</t>
  </si>
  <si>
    <t>Emission Factor kgCO2e per kWh</t>
  </si>
  <si>
    <t>Estimated tCO2e</t>
  </si>
  <si>
    <t>Reported tCO2e</t>
  </si>
  <si>
    <t>Difference tCO2e</t>
  </si>
  <si>
    <t>Difference Percent</t>
  </si>
  <si>
    <t>Scope 2 estimate: India grid factor applied to total grid electricity. Grid electricity: Infosys ESG Data Book 2024–25, page 32 (Project 1 dataset). Factor: 02 Emission Factors, EF-014. Reported: 01 Source Register.</t>
  </si>
  <si>
    <t>Emission Factor tCO2e per TJ</t>
  </si>
  <si>
    <t>Reported Scope1 tCO2e</t>
  </si>
  <si>
    <t>Fuel Energy TJ</t>
  </si>
  <si>
    <t>Fuel Energy GJ</t>
  </si>
  <si>
    <t>Refrigerant</t>
  </si>
  <si>
    <t>R22</t>
  </si>
  <si>
    <t>R407C</t>
  </si>
  <si>
    <t>R410A</t>
  </si>
  <si>
    <t>R134A</t>
  </si>
  <si>
    <t>R404A</t>
  </si>
  <si>
    <t>R32</t>
  </si>
  <si>
    <t>Total refrigerants</t>
  </si>
  <si>
    <t>The difference in tCO2e is due to we only multiplies the given value with Indian standard there are also office in US and China this a total value they given not separated value that is why estimated and real value differ</t>
  </si>
  <si>
    <t>We get only one fuel value from the report. There is no split value for diesel, petrol, PNG and biogas. So we used the diesel factor (74.1) for all of it. The diesel factor is the highest (petrol 69.3, PNG 56.1, biogas is much lower), so the fuel value may be a little higher than the real one. But the fuel-only estimate is still much lower than the reported Scope 1, because the reported Scope 1 also has refrigerants. We have the refrigerant values, so we calculated them separately and added them to the fuel value. After that, the estimate is close to the reported Scope 1. SF6 and fire extinguisher CO2 are still not added, because the report does not give their values.</t>
  </si>
  <si>
    <t>Revenue cross-check, FY2025</t>
  </si>
  <si>
    <t>Intensity: reported figures from Infosys ESG Data Book 2024–25, page 33. Revenue is not stated in the Data Book, so it is implied (emissions divided by intensity) and approximate, because the intensity is rounded to two decimals. Estimated Scope 1+2 is my Scope 1 estimate (fuel + refrigerants) plus my Scope 2 estimate. Cross-check: total energy 850,434 GJ divided by the reported energy intensity of 44.12 GJ per US$ million (page 32).</t>
  </si>
  <si>
    <t>Reported Intensity  tCO2e per USD mn</t>
  </si>
  <si>
    <t>Scope 1 estimate (fuel combustion only): fuel energy x diesel factor. Fuel energy: Infosys ESG Data Book 2024–25, page 32 (Project 1 dataset). Factor: 02 Emission Factors, EF-001 (IPCC). Reported: 01 Source Register. Reported Scope 1 also includes refrigerants, SF6 and CO2 from fire extinguishers (pages 38-39), which are not in this estimate.</t>
  </si>
  <si>
    <t>Scope 1 estimate = fuel combustion + refrigerant leakage. Refrigerant quantities: Infosys ESG Data Book 2024–25, page 35 (kg consumed). Factors: 02 Emission Factors (IPCC AR6, page 41). SF6 and CO2 from fire extinguishers are part of reported Scope 1 (pages 38-39) but no quantities are published, so they are not included.</t>
  </si>
  <si>
    <t>Estimated Intensity</t>
  </si>
  <si>
    <t>Implied Revenue US  mn</t>
  </si>
  <si>
    <t>FY2023 kg</t>
  </si>
  <si>
    <t>FY2025 tCO2e</t>
  </si>
  <si>
    <t>FY2024 tCO2e</t>
  </si>
  <si>
    <t>FY2023  tCO2e</t>
  </si>
  <si>
    <t>FY2024 kg</t>
  </si>
  <si>
    <t>FY2025 kg</t>
  </si>
  <si>
    <t>Factor kgCO2e per kg</t>
  </si>
  <si>
    <t>Fuel tCO2e</t>
  </si>
  <si>
    <t>Refrigerants tCO2e</t>
  </si>
  <si>
    <t>Reported Scope tCO2e</t>
  </si>
  <si>
    <t>Estimated Scope 2  tCO2e</t>
  </si>
  <si>
    <t>Estimated Scope1 tCO2e</t>
  </si>
  <si>
    <t>Reported Scope1+ 2  tCO2e</t>
  </si>
  <si>
    <t>Estimated Scope1+ 2 tCO2e</t>
  </si>
  <si>
    <t>Record ID</t>
  </si>
  <si>
    <t>Source URL</t>
  </si>
  <si>
    <t>Factor ID</t>
  </si>
  <si>
    <t>Emission Source</t>
  </si>
  <si>
    <t>Topic</t>
  </si>
  <si>
    <t>Note</t>
  </si>
  <si>
    <t>Scope 2 difference</t>
  </si>
  <si>
    <t>Our Scope 2 estimate is higher than the reported value (+9.9% in FY2025, +13.1% in FY2024, +14.2% in FY2023). We multiplied the total grid electricity with the Indian factor (0.727) only. But Infosys also has offices in the US and China, and the report gives only one total value, not split by country. That is why the estimated value and the reported value are different.</t>
  </si>
  <si>
    <t>32, 39, 41</t>
  </si>
  <si>
    <t>Scope 2 implied factor</t>
  </si>
  <si>
    <t>If we divide the reported Scope 2 by the grid electricity, we get an average factor of about 0.661 (FY2025), 0.643 (FY2024) and 0.637 (FY2023). This is lower than the Indian factor (0.727). It fits with some electricity being used in the US (0.352) and China (0.661), where the factors are lower. But the report does not give the split by country, so we cannot prove it. The Indian factor in earlier years may also be different.</t>
  </si>
  <si>
    <t>32, 33, 41</t>
  </si>
  <si>
    <t>Boundary of the data</t>
  </si>
  <si>
    <t>The report includes owned and leased offices worldwide. Electricity of leased offices is part of Scope 2, and where electricity bills are not available, it is estimated with the Energy Performance Index (EPI). So the grid electricity value is partly an estimate.</t>
  </si>
  <si>
    <t>3, 32</t>
  </si>
  <si>
    <t>Scope 1 fuel only</t>
  </si>
  <si>
    <t>We get only one fuel value from the report. There is no split value for diesel, petrol, PNG and biogas. So we used the diesel factor (74.1) for all of it. The diesel factor is the highest (petrol 69.3, PNG 56.1, biogas is much lower), so the fuel value may be a little higher than the real one. But the fuel-only estimate is still much lower than the reported Scope 1 (-50.9% in FY2025, -57.8% in FY2024, -66.5% in FY2023), because the reported Scope 1 also has refrigerants.</t>
  </si>
  <si>
    <t>32, 38, 39, 41</t>
  </si>
  <si>
    <t>Scope 1 with refrigerants</t>
  </si>
  <si>
    <t>The report gives the refrigerant quantities in kg, so we multiplied each refrigerant with its own factor and added the result to the fuel value. After this, the estimate is close to the reported Scope 1 (+3.8% in FY2025, +4.8% in FY2024, -2.3% in FY2023).</t>
  </si>
  <si>
    <t>35, 38, 41</t>
  </si>
  <si>
    <t>FY2023 difference</t>
  </si>
  <si>
    <t>In FY2023 the estimate is slightly below the reported value (-2.3%), but FY2025 and FY2024 are slightly above. SF6 and fire extinguisher CO2 are in the reported Scope 1 but not in our estimate, so they may be one reason for the lower value. We cannot confirm this from the data.</t>
  </si>
  <si>
    <t>38, 39, 41</t>
  </si>
  <si>
    <t>Remaining Scope 1 gap</t>
  </si>
  <si>
    <t>Two things push the estimate in opposite directions. Using the diesel factor for all fuel may make the estimate higher. The missing SF6 and fire extinguisher CO2 make it lower. So the net gap is small, but the report does not give enough data to say how much each one adds.</t>
  </si>
  <si>
    <t>Intensity</t>
  </si>
  <si>
    <t>Reported intensity is the tCO2e that Infosys reported for each US$ 1 million of revenue (2.46, 3.40 and 3.90 for Scope 1+2). The report does not give revenue in this section, so we calculated an implied revenue (Scope 1+2 divided by intensity, about US$ 19,240 million for FY2025). We checked it with the energy intensity (850,434 GJ divided by 44.12 = about 19,275), and both are close. Our estimated intensity (2.68, 3.81, 4.37) is higher than the reported one, mainly because of the Scope 2 difference.</t>
  </si>
  <si>
    <t>32, 33</t>
  </si>
  <si>
    <t>Assumptions</t>
  </si>
  <si>
    <t>We used one Indian factor (0.727) for all three years, because the report shows only one set of factors. We used the diesel factor (74.1) for all fuel. We took the refrigerant consumption in kg as the refilled amount. The grid electricity and fuel values are taken from the Project 1 dataset.</t>
  </si>
  <si>
    <t>32, 35, 38, 41</t>
  </si>
  <si>
    <t>Data not disclosed</t>
  </si>
  <si>
    <t>The report does not give: electricity split by country, fuel split by diesel, petrol, PNG and biogas, SF6 and fire extinguisher CO2 quantities, the factor for overseas locations (blank in the report), factors for FY2024 and FY2023, and whether Scope 2 is location-based or market-based.</t>
  </si>
  <si>
    <t>Scope 3 is about 79% of the total emissions in FY2025 (179,370 of 226,701 tCO2e). We copied Scope 3 as reported and did not recalculate it, because the data behind it (distances, spend, employee survey) is not public.</t>
  </si>
  <si>
    <t>33, 39, 40</t>
  </si>
  <si>
    <t>Changes between years</t>
  </si>
  <si>
    <t>From FY2025, business travel also includes hotel stays, so the FY2025 value may not be fully comparable with earlier years. Capital goods expenses are adjusted for inflation, which can also change the values between years.</t>
  </si>
  <si>
    <t>33, 39</t>
  </si>
  <si>
    <t>Purpose</t>
  </si>
  <si>
    <t>This is an independent estimate to show how the numbers are built. The Infosys reported values are the reference values.</t>
  </si>
  <si>
    <t>none</t>
  </si>
  <si>
    <t>Source Pages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</si>
</sst>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u/>
      <sz val="11"/>
      <color theme="10"/>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9966"/>
        <bgColor indexed="64"/>
      </patternFill>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0" fillId="2" borderId="1" xfId="0" applyFill="1" applyBorder="1"/>
    <xf numFmtId="0" fontId="0" fillId="0" borderId="1" xfId="0" applyBorder="1"/>
    <xf numFmtId="0" fontId="1" fillId="0" borderId="0" xfId="1"/>
    <xf numFmtId="0" fontId="0" fillId="3" borderId="0" xfId="0" applyFill="1"/>
    <xf numFmtId="3" fontId="0" fillId="0" borderId="0" xfId="0" applyNumberFormat="1"/>
    <xf numFmtId="0" fontId="2" fillId="0" borderId="0" xfId="0" applyFont="1"/>
    <xf numFmtId="0" fontId="0" fillId="0" borderId="0" xfId="0" applyAlignment="1">
      <alignment wrapText="1"/>
    </xf>
    <xf numFmtId="0" fontId="0" fillId="0" borderId="0" xfId="0" applyAlignment="1">
      <alignment vertical="center"/>
    </xf>
  </cellXfs>
  <cellStyles count="2">
    <cellStyle name="Hyperlink" xfId="1" builtinId="8"/>
    <cellStyle name="Normal" xfId="0" builtinId="0"/>
  </cellStyles>
  <dxfs count="5">
    <dxf>
      <alignment horizontal="general" vertical="center" textRotation="0" wrapText="0" indent="0" justifyLastLine="0" shrinkToFit="0" readingOrder="0"/>
    </dxf>
    <dxf>
      <alignment horizontal="general" vertical="bottom" textRotation="0" wrapText="1" indent="0" justifyLastLine="0" shrinkToFit="0" readingOrder="0"/>
    </dxf>
    <dxf>
      <alignment horizontal="general"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Year</a:t>
            </a:r>
            <a:r>
              <a:rPr lang="en-IN" baseline="0"/>
              <a:t> Wise Emission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cat>
            <c:strRef>
              <c:f>'01 Source Register'!$C$30:$C$32</c:f>
              <c:strCache>
                <c:ptCount val="3"/>
                <c:pt idx="0">
                  <c:v>FY23 Total (1+2+3)</c:v>
                </c:pt>
                <c:pt idx="1">
                  <c:v>FY24 Total (1+2+3)</c:v>
                </c:pt>
                <c:pt idx="2">
                  <c:v>FY25 Total (1+2+3)</c:v>
                </c:pt>
              </c:strCache>
            </c:strRef>
          </c:cat>
          <c:val>
            <c:numRef>
              <c:f>'01 Source Register'!$D$30:$D$32</c:f>
              <c:numCache>
                <c:formatCode>General</c:formatCode>
                <c:ptCount val="3"/>
                <c:pt idx="0">
                  <c:v>254921</c:v>
                </c:pt>
                <c:pt idx="1">
                  <c:v>243768</c:v>
                </c:pt>
                <c:pt idx="2">
                  <c:v>226701</c:v>
                </c:pt>
              </c:numCache>
            </c:numRef>
          </c:val>
          <c:extLst>
            <c:ext xmlns:c16="http://schemas.microsoft.com/office/drawing/2014/chart" uri="{C3380CC4-5D6E-409C-BE32-E72D297353CC}">
              <c16:uniqueId val="{00000000-81E4-46C6-B438-0BACD41FB37B}"/>
            </c:ext>
          </c:extLst>
        </c:ser>
        <c:dLbls>
          <c:showLegendKey val="0"/>
          <c:showVal val="0"/>
          <c:showCatName val="0"/>
          <c:showSerName val="0"/>
          <c:showPercent val="0"/>
          <c:showBubbleSize val="0"/>
        </c:dLbls>
        <c:gapWidth val="219"/>
        <c:overlap val="-27"/>
        <c:axId val="1810884960"/>
        <c:axId val="2024100048"/>
      </c:barChart>
      <c:catAx>
        <c:axId val="1810884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4100048"/>
        <c:crosses val="autoZero"/>
        <c:auto val="1"/>
        <c:lblAlgn val="ctr"/>
        <c:lblOffset val="100"/>
        <c:noMultiLvlLbl val="0"/>
      </c:catAx>
      <c:valAx>
        <c:axId val="2024100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0884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635000</xdr:colOff>
      <xdr:row>29</xdr:row>
      <xdr:rowOff>0</xdr:rowOff>
    </xdr:from>
    <xdr:to>
      <xdr:col>8</xdr:col>
      <xdr:colOff>2384424</xdr:colOff>
      <xdr:row>40</xdr:row>
      <xdr:rowOff>95250</xdr:rowOff>
    </xdr:to>
    <xdr:graphicFrame macro="">
      <xdr:nvGraphicFramePr>
        <xdr:cNvPr id="2" name="Chart 1">
          <a:extLst>
            <a:ext uri="{FF2B5EF4-FFF2-40B4-BE49-F238E27FC236}">
              <a16:creationId xmlns:a16="http://schemas.microsoft.com/office/drawing/2014/main" id="{148F1382-3E79-D99F-3496-5A97A3337D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9B92446-B2AF-41A2-8073-EB10AEE37E68}" name="Table2" displayName="Table2" ref="A1:J29" totalsRowCount="1">
  <autoFilter ref="A1:J28" xr:uid="{19B92446-B2AF-41A2-8073-EB10AEE37E68}"/>
  <tableColumns count="10">
    <tableColumn id="1" xr3:uid="{83AADF8F-0E17-4754-80DE-70DB57991259}" name="Record ID"/>
    <tableColumn id="2" xr3:uid="{F23CDFC9-0F74-4F83-AF25-11A9E7DB29D0}" name="Scope"/>
    <tableColumn id="3" xr3:uid="{1F24EFCE-1B06-4DF1-A629-8442D6507220}" name="Category"/>
    <tableColumn id="4" xr3:uid="{9AC3C281-DDEC-4DA2-9ADB-4CDB64663980}" name="Value" totalsRowDxfId="3"/>
    <tableColumn id="5" xr3:uid="{09AAC53A-DCEC-4DFF-9A97-1BD899B0B3C3}" name="Unit"/>
    <tableColumn id="6" xr3:uid="{C392E98D-C691-4520-8729-B4CA31B82174}" name="Fiscal Year"/>
    <tableColumn id="7" xr3:uid="{9AB075E8-94FE-43EB-BFF7-BF2DE76B342E}" name="Document"/>
    <tableColumn id="8" xr3:uid="{CEC9851F-E50F-422B-A9F0-CA0591EC931B}" name="Page"/>
    <tableColumn id="9" xr3:uid="{051980D2-CEE7-4587-A661-EE0C6D6D8980}" name="Source URL"/>
    <tableColumn id="10" xr3:uid="{A0CF851D-425D-4241-827E-EA201BD27D2C}"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35261BE-D7F4-4370-A981-D761287DB909}" name="Table3" displayName="Table3" ref="A1:J24" totalsRowShown="0">
  <autoFilter ref="A1:J24" xr:uid="{035261BE-D7F4-4370-A981-D761287DB909}"/>
  <tableColumns count="10">
    <tableColumn id="1" xr3:uid="{EFE3D162-555B-43B1-9F3F-FF76A68D35C6}" name="Factor ID"/>
    <tableColumn id="2" xr3:uid="{286BE833-0F64-4C59-A4D8-743CEE261833}" name="Scope"/>
    <tableColumn id="3" xr3:uid="{6DD67D77-4634-425A-81ED-639B4623B873}" name="Emission Source"/>
    <tableColumn id="4" xr3:uid="{B688A34B-C1C1-4E06-AF95-AAF6508273C6}" name="Factor"/>
    <tableColumn id="5" xr3:uid="{D84851BD-C364-43F1-A424-F804DACA5B0A}" name="Unit"/>
    <tableColumn id="6" xr3:uid="{E285A629-BE8A-452A-950B-141E9220C199}" name="Reference"/>
    <tableColumn id="7" xr3:uid="{EB943791-F887-4AC7-A2C3-38A7801310AA}" name="Document"/>
    <tableColumn id="8" xr3:uid="{BAF697DA-4D9C-4F84-8EFA-61D1D660A249}" name="Page"/>
    <tableColumn id="9" xr3:uid="{C82511BA-861F-4B66-80DF-C21437C958C9}" name="Source URL"/>
    <tableColumn id="10" xr3:uid="{5A7B775C-E02F-40AA-BC3B-F592E5F6F19A}" name="Not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51FE307-ED2D-47FA-9ABD-40A16B02BFFC}" name="Table5" displayName="Table5" ref="A1:G6" totalsRowShown="0">
  <autoFilter ref="A1:G6" xr:uid="{C51FE307-ED2D-47FA-9ABD-40A16B02BFFC}"/>
  <tableColumns count="7">
    <tableColumn id="1" xr3:uid="{8A774D8E-9057-4A78-B5B4-EF654F13FB22}" name="Fiscal Year"/>
    <tableColumn id="2" xr3:uid="{238520C0-5D9E-441B-83A8-B07D730F5A73}" name="Grid Electricity kWh"/>
    <tableColumn id="3" xr3:uid="{8A93C8D5-F56D-4EB3-A5A6-6EE1A3125513}" name="Emission Factor kgCO2e per kWh"/>
    <tableColumn id="4" xr3:uid="{84DEC1AE-02B3-44CC-80FA-E7E7CB0FD88D}" name="Estimated Scope 2  tCO2e"/>
    <tableColumn id="5" xr3:uid="{73148F6E-29F2-49E0-9B17-7333867F66C3}" name="Reported tCO2e"/>
    <tableColumn id="6" xr3:uid="{F2E1DEA4-28DC-47F9-B044-D7CB134F4711}" name="Difference tCO2e"/>
    <tableColumn id="7" xr3:uid="{957C027D-E3CF-4501-BB17-9E38A4958184}" name="Difference 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D9C9929-8520-4DE5-933E-868E053B8BFF}" name="Table6" displayName="Table6" ref="A8:H13" totalsRowShown="0">
  <autoFilter ref="A8:H13" xr:uid="{0D9C9929-8520-4DE5-933E-868E053B8BFF}"/>
  <tableColumns count="8">
    <tableColumn id="1" xr3:uid="{15FA899F-FCC5-4B05-9948-ACA2DAD366F7}" name="Fiscal Year"/>
    <tableColumn id="2" xr3:uid="{AEAE3FF4-7A9D-40EA-84A3-15EC9971D153}" name="Fuel Energy GJ"/>
    <tableColumn id="3" xr3:uid="{ED376B59-CAD7-4FB7-9377-3C7D01F4232A}" name="Fuel Energy TJ"/>
    <tableColumn id="4" xr3:uid="{67AC7C91-63A1-4FA2-BE51-F7794B680685}" name="Emission Factor tCO2e per TJ" dataDxfId="4"/>
    <tableColumn id="5" xr3:uid="{5CA15C28-2F7B-4D2E-BFA1-F0CF61CF26DE}" name="Estimated tCO2e"/>
    <tableColumn id="6" xr3:uid="{9077688D-E40C-4365-8543-3B2870BA0952}" name="Reported Scope1 tCO2e"/>
    <tableColumn id="7" xr3:uid="{30EED5A0-59E1-4751-859F-EF8424812671}" name="Difference tCO2e"/>
    <tableColumn id="8" xr3:uid="{E118C9C8-9DB3-475E-A335-6849080A7F36}" name="Difference 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2DF13A5-A3F1-4761-91EB-854C0B905785}" name="Table7" displayName="Table7" ref="A15:H27" totalsRowShown="0">
  <autoFilter ref="A15:H27" xr:uid="{12DF13A5-A3F1-4761-91EB-854C0B905785}"/>
  <tableColumns count="8">
    <tableColumn id="1" xr3:uid="{BEA54458-F8B5-47A8-BD03-BEC6808DF407}" name="Refrigerant"/>
    <tableColumn id="2" xr3:uid="{E2891AED-614F-43C8-A184-456009F42FEA}" name="Factor kgCO2e per kg"/>
    <tableColumn id="3" xr3:uid="{CAD97C94-7C8B-46BF-9628-FD111DADB566}" name="FY2025 kg"/>
    <tableColumn id="4" xr3:uid="{24156599-F08B-4551-A670-5B215EB35D2E}" name="FY2024 kg"/>
    <tableColumn id="5" xr3:uid="{5C0E1608-03DA-4AA1-AAD3-5F37D30F6D5B}" name="FY2023 kg"/>
    <tableColumn id="6" xr3:uid="{592EE7CB-C44F-4CC8-AE1D-656680376711}" name="FY2025 tCO2e"/>
    <tableColumn id="7" xr3:uid="{ECEA808F-EC4C-43CF-8605-EB69F840BD70}" name="FY2024 tCO2e"/>
    <tableColumn id="8" xr3:uid="{3338E371-FB27-46EF-9914-EA4808683CC3}" name="FY2023  tCO2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80A537-BC02-4AF8-A91F-A15568C6C51E}" name="Table8" displayName="Table8" ref="A32:F37" totalsRowShown="0">
  <autoFilter ref="A32:F37" xr:uid="{F080A537-BC02-4AF8-A91F-A15568C6C51E}"/>
  <tableColumns count="6">
    <tableColumn id="1" xr3:uid="{74C253FD-FE29-4FCB-A1BA-B079DDF9B6AF}" name="Fiscal Year"/>
    <tableColumn id="2" xr3:uid="{033AFDFA-8E78-401E-95C7-043CA4A755D6}" name="Reported Scope1+ 2  tCO2e"/>
    <tableColumn id="3" xr3:uid="{32D64505-632A-48F1-A69F-0F64EE5D1296}" name="Reported Intensity  tCO2e per USD mn"/>
    <tableColumn id="4" xr3:uid="{7D616878-BB63-408F-B354-C5A492B9D0C8}" name="Implied Revenue US  mn"/>
    <tableColumn id="5" xr3:uid="{BA2FDC9A-2EF5-4F47-A018-942F4E9CFFA4}" name="Estimated Scope1+ 2 tCO2e"/>
    <tableColumn id="6" xr3:uid="{872123E1-9002-41AC-91B8-AEC03F753638}" name="Estimated Intensity"/>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B20ACB1-AE10-4697-831D-8FA4CFB11AEE}" name="Table1" displayName="Table1" ref="A1:C14" totalsRowShown="0">
  <autoFilter ref="A1:C14" xr:uid="{8B20ACB1-AE10-4697-831D-8FA4CFB11AEE}"/>
  <tableColumns count="3">
    <tableColumn id="1" xr3:uid="{100CC626-FC6D-4958-B1C6-732FD7C5B8BB}" name="Topic" dataDxfId="2"/>
    <tableColumn id="2" xr3:uid="{5EA622BE-0ED2-40EA-AE68-9F917786607B}" name="Note" dataDxfId="1"/>
    <tableColumn id="3" xr3:uid="{9E149F28-2771-4188-A6DC-6C14143EDE6F}" name="Source Pag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nfosys.com/sustainability/documents/infosys-esg-databook-2024-25.pdf" TargetMode="External"/><Relationship Id="rId2" Type="http://schemas.openxmlformats.org/officeDocument/2006/relationships/hyperlink" Target="https://www.infosys.com/sustainability/documents/infosys-esg-databook-2024-25.pdf" TargetMode="External"/><Relationship Id="rId1" Type="http://schemas.openxmlformats.org/officeDocument/2006/relationships/hyperlink" Target="https://www.infosys.com/sustainability/documents/infosys-esg-databook-2024-25.pdf" TargetMode="External"/><Relationship Id="rId5" Type="http://schemas.openxmlformats.org/officeDocument/2006/relationships/table" Target="../tables/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infosys.com/sustainability/documents/infosys-esg-databook-2024-25.pdf"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4" Type="http://schemas.openxmlformats.org/officeDocument/2006/relationships/table" Target="../tables/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64D2-CD8D-46EE-8093-13D92B086171}">
  <dimension ref="A1:J32"/>
  <sheetViews>
    <sheetView tabSelected="1" zoomScale="54" workbookViewId="0">
      <selection activeCell="I1" sqref="I1"/>
    </sheetView>
  </sheetViews>
  <sheetFormatPr defaultRowHeight="14.5" x14ac:dyDescent="0.35"/>
  <cols>
    <col min="1" max="1" width="11.36328125" customWidth="1"/>
    <col min="3" max="3" width="36.26953125" bestFit="1" customWidth="1"/>
    <col min="6" max="6" width="12.36328125" customWidth="1"/>
    <col min="7" max="7" width="26.26953125" bestFit="1" customWidth="1"/>
    <col min="9" max="9" width="71.6328125" bestFit="1" customWidth="1"/>
    <col min="10" max="10" width="78" bestFit="1" customWidth="1"/>
  </cols>
  <sheetData>
    <row r="1" spans="1:10" x14ac:dyDescent="0.35">
      <c r="A1" t="s">
        <v>175</v>
      </c>
      <c r="B1" t="s">
        <v>0</v>
      </c>
      <c r="C1" t="s">
        <v>1</v>
      </c>
      <c r="D1" t="s">
        <v>2</v>
      </c>
      <c r="E1" t="s">
        <v>3</v>
      </c>
      <c r="F1" t="s">
        <v>132</v>
      </c>
      <c r="G1" t="s">
        <v>4</v>
      </c>
      <c r="H1" t="s">
        <v>5</v>
      </c>
      <c r="I1" t="s">
        <v>176</v>
      </c>
      <c r="J1" t="s">
        <v>6</v>
      </c>
    </row>
    <row r="2" spans="1:10" x14ac:dyDescent="0.35">
      <c r="A2" t="s">
        <v>7</v>
      </c>
      <c r="B2" t="s">
        <v>8</v>
      </c>
      <c r="C2" t="s">
        <v>9</v>
      </c>
      <c r="D2">
        <v>8745</v>
      </c>
      <c r="E2" t="s">
        <v>10</v>
      </c>
      <c r="F2" t="s">
        <v>11</v>
      </c>
      <c r="G2" t="s">
        <v>12</v>
      </c>
      <c r="H2">
        <v>33</v>
      </c>
      <c r="I2" t="s">
        <v>13</v>
      </c>
      <c r="J2" t="s">
        <v>14</v>
      </c>
    </row>
    <row r="3" spans="1:10" x14ac:dyDescent="0.35">
      <c r="A3" t="s">
        <v>15</v>
      </c>
      <c r="B3" t="s">
        <v>8</v>
      </c>
      <c r="C3" t="s">
        <v>9</v>
      </c>
      <c r="D3">
        <v>7150</v>
      </c>
      <c r="E3" t="s">
        <v>10</v>
      </c>
      <c r="F3" t="s">
        <v>16</v>
      </c>
      <c r="G3" t="s">
        <v>12</v>
      </c>
      <c r="H3">
        <v>33</v>
      </c>
      <c r="I3" s="3" t="s">
        <v>13</v>
      </c>
      <c r="J3" t="s">
        <v>14</v>
      </c>
    </row>
    <row r="4" spans="1:10" x14ac:dyDescent="0.35">
      <c r="A4" t="s">
        <v>17</v>
      </c>
      <c r="B4" t="s">
        <v>8</v>
      </c>
      <c r="C4" t="s">
        <v>9</v>
      </c>
      <c r="D4">
        <v>8593</v>
      </c>
      <c r="E4" t="s">
        <v>10</v>
      </c>
      <c r="F4" t="s">
        <v>18</v>
      </c>
      <c r="G4" t="s">
        <v>12</v>
      </c>
      <c r="H4">
        <v>33</v>
      </c>
      <c r="I4" s="3" t="s">
        <v>13</v>
      </c>
      <c r="J4" t="s">
        <v>14</v>
      </c>
    </row>
    <row r="5" spans="1:10" x14ac:dyDescent="0.35">
      <c r="A5" t="s">
        <v>19</v>
      </c>
      <c r="B5" t="s">
        <v>20</v>
      </c>
      <c r="C5" t="s">
        <v>21</v>
      </c>
      <c r="D5">
        <v>38586</v>
      </c>
      <c r="E5" t="s">
        <v>10</v>
      </c>
      <c r="F5" t="s">
        <v>11</v>
      </c>
      <c r="G5" t="s">
        <v>12</v>
      </c>
      <c r="H5">
        <v>33</v>
      </c>
      <c r="I5" s="3" t="s">
        <v>13</v>
      </c>
      <c r="J5" t="s">
        <v>22</v>
      </c>
    </row>
    <row r="6" spans="1:10" x14ac:dyDescent="0.35">
      <c r="A6" t="s">
        <v>23</v>
      </c>
      <c r="B6" t="s">
        <v>20</v>
      </c>
      <c r="C6" t="s">
        <v>21</v>
      </c>
      <c r="D6">
        <v>55881</v>
      </c>
      <c r="E6" t="s">
        <v>10</v>
      </c>
      <c r="F6" t="s">
        <v>16</v>
      </c>
      <c r="G6" t="s">
        <v>12</v>
      </c>
      <c r="H6">
        <v>33</v>
      </c>
      <c r="I6" t="s">
        <v>13</v>
      </c>
      <c r="J6" t="s">
        <v>22</v>
      </c>
    </row>
    <row r="7" spans="1:10" x14ac:dyDescent="0.35">
      <c r="A7" t="s">
        <v>24</v>
      </c>
      <c r="B7" t="s">
        <v>20</v>
      </c>
      <c r="C7" t="s">
        <v>21</v>
      </c>
      <c r="D7">
        <v>62352</v>
      </c>
      <c r="E7" t="s">
        <v>10</v>
      </c>
      <c r="F7" t="s">
        <v>18</v>
      </c>
      <c r="G7" t="s">
        <v>12</v>
      </c>
      <c r="H7">
        <v>33</v>
      </c>
      <c r="I7" t="s">
        <v>13</v>
      </c>
      <c r="J7" t="s">
        <v>22</v>
      </c>
    </row>
    <row r="8" spans="1:10" x14ac:dyDescent="0.35">
      <c r="A8" t="s">
        <v>25</v>
      </c>
      <c r="B8" t="s">
        <v>26</v>
      </c>
      <c r="C8" t="s">
        <v>27</v>
      </c>
      <c r="D8">
        <v>72680</v>
      </c>
      <c r="E8" t="s">
        <v>10</v>
      </c>
      <c r="F8" t="s">
        <v>11</v>
      </c>
      <c r="G8" t="s">
        <v>12</v>
      </c>
      <c r="H8">
        <v>33</v>
      </c>
      <c r="I8" t="s">
        <v>13</v>
      </c>
      <c r="J8" t="s">
        <v>28</v>
      </c>
    </row>
    <row r="9" spans="1:10" x14ac:dyDescent="0.35">
      <c r="A9" t="s">
        <v>29</v>
      </c>
      <c r="B9" t="s">
        <v>26</v>
      </c>
      <c r="C9" t="s">
        <v>27</v>
      </c>
      <c r="D9">
        <v>61764</v>
      </c>
      <c r="E9" t="s">
        <v>10</v>
      </c>
      <c r="F9" t="s">
        <v>16</v>
      </c>
      <c r="G9" t="s">
        <v>12</v>
      </c>
      <c r="H9">
        <v>33</v>
      </c>
      <c r="I9" t="s">
        <v>13</v>
      </c>
      <c r="J9" t="s">
        <v>28</v>
      </c>
    </row>
    <row r="10" spans="1:10" x14ac:dyDescent="0.35">
      <c r="A10" t="s">
        <v>30</v>
      </c>
      <c r="B10" t="s">
        <v>26</v>
      </c>
      <c r="C10" t="s">
        <v>27</v>
      </c>
      <c r="D10">
        <v>60390</v>
      </c>
      <c r="E10" t="s">
        <v>10</v>
      </c>
      <c r="F10" t="s">
        <v>18</v>
      </c>
      <c r="G10" t="s">
        <v>12</v>
      </c>
      <c r="H10">
        <v>33</v>
      </c>
      <c r="I10" t="s">
        <v>13</v>
      </c>
      <c r="J10" t="s">
        <v>28</v>
      </c>
    </row>
    <row r="11" spans="1:10" x14ac:dyDescent="0.35">
      <c r="A11" t="s">
        <v>31</v>
      </c>
      <c r="B11" t="s">
        <v>26</v>
      </c>
      <c r="C11" t="s">
        <v>32</v>
      </c>
      <c r="D11">
        <v>36741</v>
      </c>
      <c r="E11" t="s">
        <v>10</v>
      </c>
      <c r="F11" t="s">
        <v>11</v>
      </c>
      <c r="G11" t="s">
        <v>12</v>
      </c>
      <c r="H11">
        <v>33</v>
      </c>
      <c r="I11" t="s">
        <v>13</v>
      </c>
      <c r="J11" t="s">
        <v>33</v>
      </c>
    </row>
    <row r="12" spans="1:10" x14ac:dyDescent="0.35">
      <c r="A12" t="s">
        <v>34</v>
      </c>
      <c r="B12" t="s">
        <v>26</v>
      </c>
      <c r="C12" t="s">
        <v>32</v>
      </c>
      <c r="D12">
        <v>23397</v>
      </c>
      <c r="E12" t="s">
        <v>10</v>
      </c>
      <c r="F12" t="s">
        <v>16</v>
      </c>
      <c r="G12" t="s">
        <v>12</v>
      </c>
      <c r="H12">
        <v>33</v>
      </c>
      <c r="I12" t="s">
        <v>13</v>
      </c>
      <c r="J12" t="s">
        <v>33</v>
      </c>
    </row>
    <row r="13" spans="1:10" x14ac:dyDescent="0.35">
      <c r="A13" t="s">
        <v>35</v>
      </c>
      <c r="B13" t="s">
        <v>26</v>
      </c>
      <c r="C13" t="s">
        <v>32</v>
      </c>
      <c r="D13">
        <v>9970</v>
      </c>
      <c r="E13" t="s">
        <v>10</v>
      </c>
      <c r="F13" t="s">
        <v>18</v>
      </c>
      <c r="G13" t="s">
        <v>12</v>
      </c>
      <c r="H13">
        <v>33</v>
      </c>
      <c r="I13" t="s">
        <v>13</v>
      </c>
      <c r="J13" t="s">
        <v>33</v>
      </c>
    </row>
    <row r="14" spans="1:10" x14ac:dyDescent="0.35">
      <c r="A14" t="s">
        <v>36</v>
      </c>
      <c r="B14" t="s">
        <v>26</v>
      </c>
      <c r="C14" t="s">
        <v>37</v>
      </c>
      <c r="D14">
        <v>5555</v>
      </c>
      <c r="E14" t="s">
        <v>10</v>
      </c>
      <c r="F14" t="s">
        <v>11</v>
      </c>
      <c r="G14" t="s">
        <v>12</v>
      </c>
      <c r="H14">
        <v>33</v>
      </c>
      <c r="I14" t="s">
        <v>13</v>
      </c>
      <c r="J14" t="s">
        <v>38</v>
      </c>
    </row>
    <row r="15" spans="1:10" x14ac:dyDescent="0.35">
      <c r="A15" t="s">
        <v>39</v>
      </c>
      <c r="B15" t="s">
        <v>26</v>
      </c>
      <c r="C15" t="s">
        <v>37</v>
      </c>
      <c r="D15">
        <v>8395</v>
      </c>
      <c r="E15" t="s">
        <v>10</v>
      </c>
      <c r="F15" t="s">
        <v>16</v>
      </c>
      <c r="G15" t="s">
        <v>12</v>
      </c>
      <c r="H15">
        <v>33</v>
      </c>
      <c r="I15" t="s">
        <v>13</v>
      </c>
      <c r="J15" t="s">
        <v>38</v>
      </c>
    </row>
    <row r="16" spans="1:10" x14ac:dyDescent="0.35">
      <c r="A16" t="s">
        <v>40</v>
      </c>
      <c r="B16" t="s">
        <v>26</v>
      </c>
      <c r="C16" t="s">
        <v>37</v>
      </c>
      <c r="D16">
        <v>8944</v>
      </c>
      <c r="E16" t="s">
        <v>10</v>
      </c>
      <c r="F16" t="s">
        <v>18</v>
      </c>
      <c r="G16" t="s">
        <v>12</v>
      </c>
      <c r="H16">
        <v>33</v>
      </c>
      <c r="I16" t="s">
        <v>13</v>
      </c>
      <c r="J16" t="s">
        <v>38</v>
      </c>
    </row>
    <row r="17" spans="1:10" x14ac:dyDescent="0.35">
      <c r="A17" t="s">
        <v>41</v>
      </c>
      <c r="B17" t="s">
        <v>26</v>
      </c>
      <c r="C17" t="s">
        <v>42</v>
      </c>
      <c r="D17">
        <v>1462</v>
      </c>
      <c r="E17" t="s">
        <v>10</v>
      </c>
      <c r="F17" t="s">
        <v>11</v>
      </c>
      <c r="G17" t="s">
        <v>12</v>
      </c>
      <c r="H17">
        <v>33</v>
      </c>
      <c r="I17" t="s">
        <v>13</v>
      </c>
      <c r="J17" t="s">
        <v>43</v>
      </c>
    </row>
    <row r="18" spans="1:10" x14ac:dyDescent="0.35">
      <c r="A18" t="s">
        <v>44</v>
      </c>
      <c r="B18" t="s">
        <v>26</v>
      </c>
      <c r="C18" t="s">
        <v>42</v>
      </c>
      <c r="D18">
        <v>1170</v>
      </c>
      <c r="E18" t="s">
        <v>10</v>
      </c>
      <c r="F18" t="s">
        <v>16</v>
      </c>
      <c r="G18" t="s">
        <v>12</v>
      </c>
      <c r="H18">
        <v>33</v>
      </c>
      <c r="I18" t="s">
        <v>13</v>
      </c>
      <c r="J18" t="s">
        <v>43</v>
      </c>
    </row>
    <row r="19" spans="1:10" x14ac:dyDescent="0.35">
      <c r="A19" t="s">
        <v>45</v>
      </c>
      <c r="B19" t="s">
        <v>26</v>
      </c>
      <c r="C19" t="s">
        <v>42</v>
      </c>
      <c r="D19">
        <v>1145</v>
      </c>
      <c r="E19" t="s">
        <v>10</v>
      </c>
      <c r="F19" t="s">
        <v>18</v>
      </c>
      <c r="G19" t="s">
        <v>12</v>
      </c>
      <c r="H19">
        <v>33</v>
      </c>
      <c r="I19" t="s">
        <v>13</v>
      </c>
      <c r="J19" t="s">
        <v>43</v>
      </c>
    </row>
    <row r="20" spans="1:10" x14ac:dyDescent="0.35">
      <c r="A20" t="s">
        <v>46</v>
      </c>
      <c r="B20" t="s">
        <v>26</v>
      </c>
      <c r="C20" t="s">
        <v>47</v>
      </c>
      <c r="D20">
        <v>85</v>
      </c>
      <c r="E20" t="s">
        <v>10</v>
      </c>
      <c r="F20" t="s">
        <v>11</v>
      </c>
      <c r="G20" t="s">
        <v>12</v>
      </c>
      <c r="H20">
        <v>33</v>
      </c>
      <c r="I20" t="s">
        <v>13</v>
      </c>
      <c r="J20" t="s">
        <v>48</v>
      </c>
    </row>
    <row r="21" spans="1:10" x14ac:dyDescent="0.35">
      <c r="A21" t="s">
        <v>49</v>
      </c>
      <c r="B21" t="s">
        <v>26</v>
      </c>
      <c r="C21" t="s">
        <v>47</v>
      </c>
      <c r="D21">
        <v>507</v>
      </c>
      <c r="E21" t="s">
        <v>10</v>
      </c>
      <c r="F21" t="s">
        <v>16</v>
      </c>
      <c r="G21" t="s">
        <v>12</v>
      </c>
      <c r="H21">
        <v>33</v>
      </c>
      <c r="I21" t="s">
        <v>13</v>
      </c>
      <c r="J21" t="s">
        <v>48</v>
      </c>
    </row>
    <row r="22" spans="1:10" x14ac:dyDescent="0.35">
      <c r="A22" t="s">
        <v>50</v>
      </c>
      <c r="B22" t="s">
        <v>26</v>
      </c>
      <c r="C22" t="s">
        <v>47</v>
      </c>
      <c r="D22">
        <v>262</v>
      </c>
      <c r="E22" t="s">
        <v>10</v>
      </c>
      <c r="F22" t="s">
        <v>18</v>
      </c>
      <c r="G22" t="s">
        <v>12</v>
      </c>
      <c r="H22">
        <v>33</v>
      </c>
      <c r="I22" t="s">
        <v>13</v>
      </c>
      <c r="J22" t="s">
        <v>48</v>
      </c>
    </row>
    <row r="23" spans="1:10" x14ac:dyDescent="0.35">
      <c r="A23" t="s">
        <v>51</v>
      </c>
      <c r="B23" t="s">
        <v>26</v>
      </c>
      <c r="C23" t="s">
        <v>52</v>
      </c>
      <c r="D23">
        <v>41394</v>
      </c>
      <c r="E23" t="s">
        <v>10</v>
      </c>
      <c r="F23" t="s">
        <v>11</v>
      </c>
      <c r="G23" t="s">
        <v>12</v>
      </c>
      <c r="H23">
        <v>33</v>
      </c>
      <c r="I23" t="s">
        <v>13</v>
      </c>
      <c r="J23" t="s">
        <v>53</v>
      </c>
    </row>
    <row r="24" spans="1:10" x14ac:dyDescent="0.35">
      <c r="A24" t="s">
        <v>54</v>
      </c>
      <c r="B24" t="s">
        <v>26</v>
      </c>
      <c r="C24" t="s">
        <v>52</v>
      </c>
      <c r="D24">
        <v>54009</v>
      </c>
      <c r="E24" t="s">
        <v>10</v>
      </c>
      <c r="F24" t="s">
        <v>16</v>
      </c>
      <c r="G24" t="s">
        <v>12</v>
      </c>
      <c r="H24">
        <v>33</v>
      </c>
      <c r="I24" t="s">
        <v>13</v>
      </c>
      <c r="J24" t="s">
        <v>53</v>
      </c>
    </row>
    <row r="25" spans="1:10" x14ac:dyDescent="0.35">
      <c r="A25" t="s">
        <v>55</v>
      </c>
      <c r="B25" t="s">
        <v>26</v>
      </c>
      <c r="C25" t="s">
        <v>52</v>
      </c>
      <c r="D25">
        <v>66323</v>
      </c>
      <c r="E25" t="s">
        <v>10</v>
      </c>
      <c r="F25" t="s">
        <v>18</v>
      </c>
      <c r="G25" t="s">
        <v>12</v>
      </c>
      <c r="H25">
        <v>33</v>
      </c>
      <c r="I25" t="s">
        <v>13</v>
      </c>
      <c r="J25" t="s">
        <v>53</v>
      </c>
    </row>
    <row r="26" spans="1:10" x14ac:dyDescent="0.35">
      <c r="A26" t="s">
        <v>56</v>
      </c>
      <c r="B26" t="s">
        <v>26</v>
      </c>
      <c r="C26" t="s">
        <v>57</v>
      </c>
      <c r="D26">
        <v>21453</v>
      </c>
      <c r="E26" t="s">
        <v>10</v>
      </c>
      <c r="F26" t="s">
        <v>11</v>
      </c>
      <c r="G26" t="s">
        <v>12</v>
      </c>
      <c r="H26">
        <v>33</v>
      </c>
      <c r="I26" t="s">
        <v>13</v>
      </c>
      <c r="J26" t="s">
        <v>58</v>
      </c>
    </row>
    <row r="27" spans="1:10" x14ac:dyDescent="0.35">
      <c r="A27" t="s">
        <v>59</v>
      </c>
      <c r="B27" t="s">
        <v>26</v>
      </c>
      <c r="C27" t="s">
        <v>57</v>
      </c>
      <c r="D27">
        <v>31495</v>
      </c>
      <c r="E27" t="s">
        <v>10</v>
      </c>
      <c r="F27" t="s">
        <v>16</v>
      </c>
      <c r="G27" t="s">
        <v>12</v>
      </c>
      <c r="H27">
        <v>33</v>
      </c>
      <c r="I27" t="s">
        <v>13</v>
      </c>
      <c r="J27" t="s">
        <v>58</v>
      </c>
    </row>
    <row r="28" spans="1:10" x14ac:dyDescent="0.35">
      <c r="A28" t="s">
        <v>60</v>
      </c>
      <c r="B28" t="s">
        <v>26</v>
      </c>
      <c r="C28" t="s">
        <v>57</v>
      </c>
      <c r="D28">
        <v>36942</v>
      </c>
      <c r="E28" t="s">
        <v>10</v>
      </c>
      <c r="F28" t="s">
        <v>18</v>
      </c>
      <c r="G28" t="s">
        <v>12</v>
      </c>
      <c r="H28">
        <v>33</v>
      </c>
      <c r="I28" t="s">
        <v>13</v>
      </c>
      <c r="J28" t="s">
        <v>58</v>
      </c>
    </row>
    <row r="29" spans="1:10" x14ac:dyDescent="0.35">
      <c r="D29" s="6"/>
    </row>
    <row r="30" spans="1:10" x14ac:dyDescent="0.35">
      <c r="C30" t="s">
        <v>61</v>
      </c>
      <c r="D30" s="6">
        <f>SUM(D4+D7+D10+D13+D16+D19+D22+D25+D28)</f>
        <v>254921</v>
      </c>
    </row>
    <row r="31" spans="1:10" x14ac:dyDescent="0.35">
      <c r="C31" t="s">
        <v>62</v>
      </c>
      <c r="D31" s="6">
        <f>SUM(D3+D6+D9+D12+D15+D18+D21+D24+D27)</f>
        <v>243768</v>
      </c>
    </row>
    <row r="32" spans="1:10" x14ac:dyDescent="0.35">
      <c r="C32" t="s">
        <v>63</v>
      </c>
      <c r="D32" s="6">
        <f>SUM(D2+D5+D8+D11+D14+D17+D20+D23+D26)</f>
        <v>226701</v>
      </c>
    </row>
  </sheetData>
  <hyperlinks>
    <hyperlink ref="I4" r:id="rId1" xr:uid="{70EF2C56-5ADD-47E3-8554-1FFCD71933C8}"/>
    <hyperlink ref="I5" r:id="rId2" xr:uid="{4FB77B9D-1116-4986-8F5F-6347F88A547A}"/>
    <hyperlink ref="I3" r:id="rId3" xr:uid="{D494D60E-651E-4276-924F-3CA170D4374E}"/>
  </hyperlinks>
  <pageMargins left="0.7" right="0.7" top="0.75" bottom="0.75" header="0.3" footer="0.3"/>
  <drawing r:id="rId4"/>
  <tableParts count="1">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3817F-DF55-42B4-8AC9-364978334198}">
  <dimension ref="A1:J24"/>
  <sheetViews>
    <sheetView workbookViewId="0">
      <selection activeCell="I1" sqref="I1"/>
    </sheetView>
  </sheetViews>
  <sheetFormatPr defaultRowHeight="14.5" x14ac:dyDescent="0.35"/>
  <cols>
    <col min="1" max="1" width="10.7265625" customWidth="1"/>
    <col min="3" max="3" width="29.90625" bestFit="1" customWidth="1"/>
    <col min="5" max="5" width="19.54296875" bestFit="1" customWidth="1"/>
    <col min="6" max="6" width="51.90625" bestFit="1" customWidth="1"/>
    <col min="7" max="7" width="26.26953125" bestFit="1" customWidth="1"/>
    <col min="9" max="9" width="71.6328125" bestFit="1" customWidth="1"/>
    <col min="10" max="10" width="44" bestFit="1" customWidth="1"/>
  </cols>
  <sheetData>
    <row r="1" spans="1:10" x14ac:dyDescent="0.35">
      <c r="A1" t="s">
        <v>177</v>
      </c>
      <c r="B1" t="s">
        <v>0</v>
      </c>
      <c r="C1" t="s">
        <v>178</v>
      </c>
      <c r="D1" t="s">
        <v>64</v>
      </c>
      <c r="E1" t="s">
        <v>3</v>
      </c>
      <c r="F1" t="s">
        <v>65</v>
      </c>
      <c r="G1" t="s">
        <v>4</v>
      </c>
      <c r="H1" t="s">
        <v>5</v>
      </c>
      <c r="I1" t="s">
        <v>176</v>
      </c>
      <c r="J1" t="s">
        <v>6</v>
      </c>
    </row>
    <row r="2" spans="1:10" x14ac:dyDescent="0.35">
      <c r="A2" t="s">
        <v>66</v>
      </c>
      <c r="B2" t="s">
        <v>8</v>
      </c>
      <c r="C2" t="s">
        <v>67</v>
      </c>
      <c r="D2">
        <v>74.099999999999994</v>
      </c>
      <c r="E2" t="s">
        <v>68</v>
      </c>
      <c r="F2" t="s">
        <v>69</v>
      </c>
      <c r="G2" t="s">
        <v>12</v>
      </c>
      <c r="H2">
        <v>41</v>
      </c>
      <c r="I2" s="3" t="s">
        <v>13</v>
      </c>
      <c r="J2" t="s">
        <v>70</v>
      </c>
    </row>
    <row r="3" spans="1:10" x14ac:dyDescent="0.35">
      <c r="A3" t="s">
        <v>71</v>
      </c>
      <c r="B3" t="s">
        <v>8</v>
      </c>
      <c r="C3" t="s">
        <v>72</v>
      </c>
      <c r="D3">
        <v>74.099999999999994</v>
      </c>
      <c r="E3" t="s">
        <v>68</v>
      </c>
      <c r="F3" t="s">
        <v>69</v>
      </c>
      <c r="G3" t="s">
        <v>12</v>
      </c>
      <c r="H3">
        <v>41</v>
      </c>
      <c r="I3" t="s">
        <v>13</v>
      </c>
    </row>
    <row r="4" spans="1:10" x14ac:dyDescent="0.35">
      <c r="A4" t="s">
        <v>73</v>
      </c>
      <c r="B4" t="s">
        <v>8</v>
      </c>
      <c r="C4" t="s">
        <v>74</v>
      </c>
      <c r="D4">
        <v>69.3</v>
      </c>
      <c r="E4" t="s">
        <v>68</v>
      </c>
      <c r="F4" t="s">
        <v>69</v>
      </c>
      <c r="G4" t="s">
        <v>12</v>
      </c>
      <c r="H4">
        <v>41</v>
      </c>
      <c r="I4" t="s">
        <v>13</v>
      </c>
    </row>
    <row r="5" spans="1:10" x14ac:dyDescent="0.35">
      <c r="A5" t="s">
        <v>75</v>
      </c>
      <c r="B5" t="s">
        <v>8</v>
      </c>
      <c r="C5" t="s">
        <v>76</v>
      </c>
      <c r="D5">
        <v>56.1</v>
      </c>
      <c r="E5" t="s">
        <v>68</v>
      </c>
      <c r="F5" t="s">
        <v>69</v>
      </c>
      <c r="G5" t="s">
        <v>12</v>
      </c>
      <c r="H5">
        <v>41</v>
      </c>
      <c r="I5" t="s">
        <v>13</v>
      </c>
    </row>
    <row r="6" spans="1:10" x14ac:dyDescent="0.35">
      <c r="A6" t="s">
        <v>77</v>
      </c>
      <c r="B6" t="s">
        <v>8</v>
      </c>
      <c r="C6" t="s">
        <v>78</v>
      </c>
      <c r="D6">
        <v>1.26</v>
      </c>
      <c r="E6" t="s">
        <v>79</v>
      </c>
      <c r="F6" t="s">
        <v>80</v>
      </c>
      <c r="G6" t="s">
        <v>12</v>
      </c>
      <c r="H6">
        <v>41</v>
      </c>
      <c r="I6" t="s">
        <v>13</v>
      </c>
      <c r="J6" t="s">
        <v>81</v>
      </c>
    </row>
    <row r="7" spans="1:10" x14ac:dyDescent="0.35">
      <c r="A7" t="s">
        <v>82</v>
      </c>
      <c r="B7" t="s">
        <v>8</v>
      </c>
      <c r="C7" t="s">
        <v>83</v>
      </c>
      <c r="D7">
        <v>1960</v>
      </c>
      <c r="E7" t="s">
        <v>84</v>
      </c>
      <c r="F7" t="s">
        <v>85</v>
      </c>
      <c r="G7" t="s">
        <v>12</v>
      </c>
      <c r="H7">
        <v>41</v>
      </c>
      <c r="I7" t="s">
        <v>13</v>
      </c>
      <c r="J7" t="s">
        <v>86</v>
      </c>
    </row>
    <row r="8" spans="1:10" x14ac:dyDescent="0.35">
      <c r="A8" t="s">
        <v>87</v>
      </c>
      <c r="B8" t="s">
        <v>8</v>
      </c>
      <c r="C8" t="s">
        <v>88</v>
      </c>
      <c r="D8">
        <v>1908</v>
      </c>
      <c r="E8" t="s">
        <v>84</v>
      </c>
      <c r="F8" t="s">
        <v>85</v>
      </c>
      <c r="G8" t="s">
        <v>12</v>
      </c>
      <c r="H8">
        <v>41</v>
      </c>
      <c r="I8" t="s">
        <v>13</v>
      </c>
      <c r="J8" t="s">
        <v>86</v>
      </c>
    </row>
    <row r="9" spans="1:10" x14ac:dyDescent="0.35">
      <c r="A9" t="s">
        <v>89</v>
      </c>
      <c r="B9" t="s">
        <v>8</v>
      </c>
      <c r="C9" t="s">
        <v>90</v>
      </c>
      <c r="D9">
        <v>1530</v>
      </c>
      <c r="E9" t="s">
        <v>84</v>
      </c>
      <c r="F9" t="s">
        <v>85</v>
      </c>
      <c r="G9" t="s">
        <v>12</v>
      </c>
      <c r="H9">
        <v>41</v>
      </c>
      <c r="I9" t="s">
        <v>13</v>
      </c>
      <c r="J9" t="s">
        <v>86</v>
      </c>
    </row>
    <row r="10" spans="1:10" x14ac:dyDescent="0.35">
      <c r="A10" t="s">
        <v>91</v>
      </c>
      <c r="B10" t="s">
        <v>8</v>
      </c>
      <c r="C10" t="s">
        <v>92</v>
      </c>
      <c r="D10">
        <v>2256</v>
      </c>
      <c r="E10" t="s">
        <v>84</v>
      </c>
      <c r="F10" t="s">
        <v>85</v>
      </c>
      <c r="G10" t="s">
        <v>12</v>
      </c>
      <c r="H10">
        <v>41</v>
      </c>
      <c r="I10" t="s">
        <v>13</v>
      </c>
      <c r="J10" t="s">
        <v>86</v>
      </c>
    </row>
    <row r="11" spans="1:10" x14ac:dyDescent="0.35">
      <c r="A11" t="s">
        <v>93</v>
      </c>
      <c r="B11" t="s">
        <v>8</v>
      </c>
      <c r="C11" t="s">
        <v>94</v>
      </c>
      <c r="D11">
        <v>4728</v>
      </c>
      <c r="E11" t="s">
        <v>84</v>
      </c>
      <c r="F11" t="s">
        <v>85</v>
      </c>
      <c r="G11" t="s">
        <v>12</v>
      </c>
      <c r="H11">
        <v>41</v>
      </c>
      <c r="I11" t="s">
        <v>13</v>
      </c>
      <c r="J11" t="s">
        <v>86</v>
      </c>
    </row>
    <row r="12" spans="1:10" x14ac:dyDescent="0.35">
      <c r="A12" t="s">
        <v>95</v>
      </c>
      <c r="B12" t="s">
        <v>8</v>
      </c>
      <c r="C12" t="s">
        <v>96</v>
      </c>
      <c r="D12">
        <v>771</v>
      </c>
      <c r="E12" t="s">
        <v>84</v>
      </c>
      <c r="F12" t="s">
        <v>85</v>
      </c>
      <c r="G12" t="s">
        <v>12</v>
      </c>
      <c r="H12">
        <v>41</v>
      </c>
      <c r="I12" t="s">
        <v>13</v>
      </c>
      <c r="J12" t="s">
        <v>86</v>
      </c>
    </row>
    <row r="13" spans="1:10" x14ac:dyDescent="0.35">
      <c r="A13" t="s">
        <v>97</v>
      </c>
      <c r="B13" t="s">
        <v>8</v>
      </c>
      <c r="C13" t="s">
        <v>98</v>
      </c>
      <c r="D13">
        <v>3.88</v>
      </c>
      <c r="E13" t="s">
        <v>84</v>
      </c>
      <c r="F13" t="s">
        <v>85</v>
      </c>
      <c r="G13" t="s">
        <v>12</v>
      </c>
      <c r="H13">
        <v>41</v>
      </c>
      <c r="I13" t="s">
        <v>13</v>
      </c>
      <c r="J13" t="s">
        <v>86</v>
      </c>
    </row>
    <row r="14" spans="1:10" x14ac:dyDescent="0.35">
      <c r="A14" t="s">
        <v>99</v>
      </c>
      <c r="B14" t="s">
        <v>8</v>
      </c>
      <c r="C14" t="s">
        <v>100</v>
      </c>
      <c r="D14">
        <v>24300</v>
      </c>
      <c r="E14" t="s">
        <v>84</v>
      </c>
      <c r="F14" t="s">
        <v>85</v>
      </c>
      <c r="G14" t="s">
        <v>12</v>
      </c>
      <c r="H14">
        <v>41</v>
      </c>
      <c r="I14" t="s">
        <v>13</v>
      </c>
      <c r="J14" t="s">
        <v>101</v>
      </c>
    </row>
    <row r="15" spans="1:10" x14ac:dyDescent="0.35">
      <c r="A15" t="s">
        <v>102</v>
      </c>
      <c r="B15" t="s">
        <v>20</v>
      </c>
      <c r="C15" t="s">
        <v>103</v>
      </c>
      <c r="D15">
        <v>0.72699999999999998</v>
      </c>
      <c r="E15" t="s">
        <v>104</v>
      </c>
      <c r="F15" t="s">
        <v>105</v>
      </c>
      <c r="G15" t="s">
        <v>12</v>
      </c>
      <c r="H15">
        <v>41</v>
      </c>
      <c r="I15" t="s">
        <v>13</v>
      </c>
    </row>
    <row r="16" spans="1:10" x14ac:dyDescent="0.35">
      <c r="A16" t="s">
        <v>106</v>
      </c>
      <c r="B16" t="s">
        <v>20</v>
      </c>
      <c r="C16" t="s">
        <v>107</v>
      </c>
      <c r="D16">
        <v>0.66100000000000003</v>
      </c>
      <c r="E16" t="s">
        <v>104</v>
      </c>
      <c r="F16" t="s">
        <v>108</v>
      </c>
      <c r="G16" t="s">
        <v>12</v>
      </c>
      <c r="H16">
        <v>41</v>
      </c>
      <c r="I16" t="s">
        <v>13</v>
      </c>
    </row>
    <row r="17" spans="1:10" x14ac:dyDescent="0.35">
      <c r="A17" t="s">
        <v>109</v>
      </c>
      <c r="B17" t="s">
        <v>20</v>
      </c>
      <c r="C17" t="s">
        <v>110</v>
      </c>
      <c r="D17">
        <v>0.35199999999999998</v>
      </c>
      <c r="E17" t="s">
        <v>104</v>
      </c>
      <c r="F17" t="s">
        <v>111</v>
      </c>
      <c r="G17" t="s">
        <v>12</v>
      </c>
      <c r="H17">
        <v>41</v>
      </c>
      <c r="I17" t="s">
        <v>13</v>
      </c>
    </row>
    <row r="18" spans="1:10" x14ac:dyDescent="0.35">
      <c r="A18" t="s">
        <v>112</v>
      </c>
      <c r="B18" t="s">
        <v>20</v>
      </c>
      <c r="C18" t="s">
        <v>113</v>
      </c>
      <c r="E18" t="s">
        <v>104</v>
      </c>
      <c r="F18" t="s">
        <v>114</v>
      </c>
      <c r="G18" t="s">
        <v>12</v>
      </c>
      <c r="H18">
        <v>41</v>
      </c>
      <c r="I18" t="s">
        <v>13</v>
      </c>
      <c r="J18" t="s">
        <v>115</v>
      </c>
    </row>
    <row r="19" spans="1:10" x14ac:dyDescent="0.35">
      <c r="A19" t="s">
        <v>116</v>
      </c>
      <c r="B19" t="s">
        <v>26</v>
      </c>
      <c r="C19" t="s">
        <v>117</v>
      </c>
      <c r="D19">
        <v>8.0000000000000002E-3</v>
      </c>
      <c r="E19" t="s">
        <v>118</v>
      </c>
      <c r="F19" t="s">
        <v>119</v>
      </c>
      <c r="G19" t="s">
        <v>12</v>
      </c>
      <c r="H19">
        <v>41</v>
      </c>
      <c r="I19" t="s">
        <v>13</v>
      </c>
    </row>
    <row r="20" spans="1:10" x14ac:dyDescent="0.35">
      <c r="A20" t="s">
        <v>120</v>
      </c>
      <c r="B20" t="s">
        <v>26</v>
      </c>
      <c r="C20" t="s">
        <v>121</v>
      </c>
      <c r="D20">
        <v>2.9000000000000001E-2</v>
      </c>
      <c r="E20" t="s">
        <v>118</v>
      </c>
      <c r="F20" t="s">
        <v>122</v>
      </c>
      <c r="G20" t="s">
        <v>12</v>
      </c>
      <c r="H20">
        <v>41</v>
      </c>
      <c r="I20" t="s">
        <v>13</v>
      </c>
    </row>
    <row r="21" spans="1:10" x14ac:dyDescent="0.35">
      <c r="A21" t="s">
        <v>123</v>
      </c>
      <c r="B21" t="s">
        <v>26</v>
      </c>
      <c r="C21" t="s">
        <v>124</v>
      </c>
      <c r="D21">
        <v>8.6999999999999994E-2</v>
      </c>
      <c r="E21" t="s">
        <v>125</v>
      </c>
      <c r="F21" t="s">
        <v>119</v>
      </c>
      <c r="G21" t="s">
        <v>12</v>
      </c>
      <c r="H21">
        <v>41</v>
      </c>
      <c r="I21" t="s">
        <v>13</v>
      </c>
    </row>
    <row r="22" spans="1:10" x14ac:dyDescent="0.35">
      <c r="A22" t="s">
        <v>126</v>
      </c>
      <c r="B22" t="s">
        <v>26</v>
      </c>
      <c r="C22" t="s">
        <v>127</v>
      </c>
      <c r="D22">
        <v>1.4999999999999999E-2</v>
      </c>
      <c r="E22" t="s">
        <v>118</v>
      </c>
      <c r="F22" t="s">
        <v>119</v>
      </c>
      <c r="G22" t="s">
        <v>12</v>
      </c>
      <c r="H22">
        <v>41</v>
      </c>
      <c r="I22" t="s">
        <v>13</v>
      </c>
    </row>
    <row r="23" spans="1:10" x14ac:dyDescent="0.35">
      <c r="A23" t="s">
        <v>128</v>
      </c>
      <c r="B23" t="s">
        <v>26</v>
      </c>
      <c r="C23" t="s">
        <v>129</v>
      </c>
      <c r="D23">
        <v>0.13100000000000001</v>
      </c>
      <c r="E23" t="s">
        <v>125</v>
      </c>
      <c r="F23" t="s">
        <v>119</v>
      </c>
      <c r="G23" t="s">
        <v>12</v>
      </c>
      <c r="H23">
        <v>41</v>
      </c>
      <c r="I23" t="s">
        <v>13</v>
      </c>
    </row>
    <row r="24" spans="1:10" x14ac:dyDescent="0.35">
      <c r="A24" t="s">
        <v>130</v>
      </c>
      <c r="B24" t="s">
        <v>26</v>
      </c>
      <c r="C24" t="s">
        <v>131</v>
      </c>
      <c r="D24">
        <v>2.57</v>
      </c>
      <c r="E24" t="s">
        <v>84</v>
      </c>
      <c r="F24" t="s">
        <v>80</v>
      </c>
      <c r="G24" t="s">
        <v>12</v>
      </c>
      <c r="H24">
        <v>41</v>
      </c>
      <c r="I24" t="s">
        <v>13</v>
      </c>
    </row>
  </sheetData>
  <hyperlinks>
    <hyperlink ref="I2" r:id="rId1" xr:uid="{94756579-3B4B-421C-AA54-F2F98F5DE52D}"/>
  </hyperlinks>
  <pageMargins left="0.7" right="0.7" top="0.75" bottom="0.75" header="0.3" footer="0.3"/>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E9416-5431-47FE-8C23-FBD57D26899F}">
  <dimension ref="A1:J39"/>
  <sheetViews>
    <sheetView topLeftCell="A16" zoomScale="54" workbookViewId="0">
      <selection activeCell="B44" sqref="B44"/>
    </sheetView>
  </sheetViews>
  <sheetFormatPr defaultRowHeight="14.5" x14ac:dyDescent="0.35"/>
  <cols>
    <col min="1" max="1" width="18.26953125" customWidth="1"/>
    <col min="2" max="2" width="25.54296875" customWidth="1"/>
    <col min="3" max="3" width="36.36328125" customWidth="1"/>
    <col min="4" max="5" width="26.6328125" customWidth="1"/>
    <col min="6" max="6" width="22.54296875" customWidth="1"/>
    <col min="7" max="7" width="18.90625" customWidth="1"/>
    <col min="8" max="8" width="18.453125" customWidth="1"/>
    <col min="9" max="9" width="23.453125" customWidth="1"/>
    <col min="10" max="10" width="179.1796875" bestFit="1" customWidth="1"/>
  </cols>
  <sheetData>
    <row r="1" spans="1:10" x14ac:dyDescent="0.35">
      <c r="A1" t="s">
        <v>132</v>
      </c>
      <c r="B1" t="s">
        <v>133</v>
      </c>
      <c r="C1" t="s">
        <v>134</v>
      </c>
      <c r="D1" t="s">
        <v>171</v>
      </c>
      <c r="E1" t="s">
        <v>136</v>
      </c>
      <c r="F1" t="s">
        <v>137</v>
      </c>
      <c r="G1" t="s">
        <v>138</v>
      </c>
    </row>
    <row r="2" spans="1:10" x14ac:dyDescent="0.35">
      <c r="A2" t="s">
        <v>11</v>
      </c>
      <c r="B2">
        <v>58349203</v>
      </c>
      <c r="C2">
        <v>0.72699999999999998</v>
      </c>
      <c r="D2">
        <f>B2*C2/1000</f>
        <v>42419.870581000003</v>
      </c>
      <c r="E2">
        <v>38586</v>
      </c>
      <c r="F2">
        <f>D2-E2</f>
        <v>3833.8705810000029</v>
      </c>
      <c r="G2">
        <f>(F2/E2)*100</f>
        <v>9.9359109029181649</v>
      </c>
      <c r="J2" s="4" t="s">
        <v>152</v>
      </c>
    </row>
    <row r="3" spans="1:10" x14ac:dyDescent="0.35">
      <c r="A3" t="s">
        <v>16</v>
      </c>
      <c r="B3">
        <v>86931025</v>
      </c>
      <c r="C3">
        <v>0.72699999999999998</v>
      </c>
      <c r="D3">
        <f>B3*C3/1000</f>
        <v>63198.855174999997</v>
      </c>
      <c r="E3">
        <v>55881</v>
      </c>
      <c r="F3">
        <f>D3-E3</f>
        <v>7317.855174999997</v>
      </c>
      <c r="G3">
        <f t="shared" ref="G3:G4" si="0">(F3/E3)*100</f>
        <v>13.09542630768955</v>
      </c>
    </row>
    <row r="4" spans="1:10" x14ac:dyDescent="0.35">
      <c r="A4" t="s">
        <v>18</v>
      </c>
      <c r="B4">
        <v>97913853</v>
      </c>
      <c r="C4">
        <v>0.72699999999999998</v>
      </c>
      <c r="D4">
        <f>B4*C4/1000</f>
        <v>71183.371130999993</v>
      </c>
      <c r="E4">
        <v>62352</v>
      </c>
      <c r="F4">
        <f>D4-E4</f>
        <v>8831.3711309999926</v>
      </c>
      <c r="G4">
        <f t="shared" si="0"/>
        <v>14.163733530600449</v>
      </c>
    </row>
    <row r="6" spans="1:10" x14ac:dyDescent="0.35">
      <c r="A6" t="s">
        <v>139</v>
      </c>
    </row>
    <row r="8" spans="1:10" x14ac:dyDescent="0.35">
      <c r="A8" t="s">
        <v>132</v>
      </c>
      <c r="B8" t="s">
        <v>143</v>
      </c>
      <c r="C8" t="s">
        <v>142</v>
      </c>
      <c r="D8" t="s">
        <v>140</v>
      </c>
      <c r="E8" t="s">
        <v>135</v>
      </c>
      <c r="F8" t="s">
        <v>141</v>
      </c>
      <c r="G8" t="s">
        <v>137</v>
      </c>
      <c r="H8" t="s">
        <v>138</v>
      </c>
    </row>
    <row r="9" spans="1:10" x14ac:dyDescent="0.35">
      <c r="A9" t="s">
        <v>11</v>
      </c>
      <c r="B9">
        <v>57966</v>
      </c>
      <c r="C9">
        <f>B9/1000</f>
        <v>57.966000000000001</v>
      </c>
      <c r="D9" s="1">
        <v>74.099999999999994</v>
      </c>
      <c r="E9">
        <f>C9*D9</f>
        <v>4295.2806</v>
      </c>
      <c r="F9" s="1">
        <v>8745</v>
      </c>
      <c r="G9">
        <f>E9-F9</f>
        <v>-4449.7194</v>
      </c>
      <c r="H9">
        <f>(G9/F9)*100</f>
        <v>-50.883012006861058</v>
      </c>
      <c r="J9" s="4" t="s">
        <v>153</v>
      </c>
    </row>
    <row r="10" spans="1:10" x14ac:dyDescent="0.35">
      <c r="A10" t="s">
        <v>16</v>
      </c>
      <c r="B10">
        <v>40743</v>
      </c>
      <c r="C10">
        <f>B10/1000</f>
        <v>40.743000000000002</v>
      </c>
      <c r="D10" s="1">
        <v>74.099999999999994</v>
      </c>
      <c r="E10">
        <f>C10*D10</f>
        <v>3019.0562999999997</v>
      </c>
      <c r="F10" s="2">
        <v>7150</v>
      </c>
      <c r="G10">
        <f>E10-F10</f>
        <v>-4130.9436999999998</v>
      </c>
      <c r="H10">
        <f t="shared" ref="H10:H11" si="1">(G10/F10)*100</f>
        <v>-57.775436363636359</v>
      </c>
    </row>
    <row r="11" spans="1:10" x14ac:dyDescent="0.35">
      <c r="A11" t="s">
        <v>18</v>
      </c>
      <c r="B11">
        <v>38852</v>
      </c>
      <c r="C11">
        <f>B11/1000</f>
        <v>38.851999999999997</v>
      </c>
      <c r="D11" s="1">
        <v>74.099999999999994</v>
      </c>
      <c r="E11">
        <f>C11*D11</f>
        <v>2878.9331999999995</v>
      </c>
      <c r="F11" s="1">
        <v>8593</v>
      </c>
      <c r="G11">
        <f>E11-F11</f>
        <v>-5714.0668000000005</v>
      </c>
      <c r="H11">
        <f t="shared" si="1"/>
        <v>-66.496762481089263</v>
      </c>
    </row>
    <row r="13" spans="1:10" x14ac:dyDescent="0.35">
      <c r="A13" t="s">
        <v>157</v>
      </c>
    </row>
    <row r="15" spans="1:10" x14ac:dyDescent="0.35">
      <c r="A15" t="s">
        <v>144</v>
      </c>
      <c r="B15" t="s">
        <v>167</v>
      </c>
      <c r="C15" t="s">
        <v>166</v>
      </c>
      <c r="D15" t="s">
        <v>165</v>
      </c>
      <c r="E15" t="s">
        <v>161</v>
      </c>
      <c r="F15" t="s">
        <v>162</v>
      </c>
      <c r="G15" t="s">
        <v>163</v>
      </c>
      <c r="H15" t="s">
        <v>164</v>
      </c>
    </row>
    <row r="16" spans="1:10" x14ac:dyDescent="0.35">
      <c r="A16" t="s">
        <v>145</v>
      </c>
      <c r="B16" s="2">
        <v>1960</v>
      </c>
      <c r="C16">
        <v>150.30000000000001</v>
      </c>
      <c r="D16">
        <v>293</v>
      </c>
      <c r="E16">
        <v>427.45</v>
      </c>
      <c r="F16">
        <f t="shared" ref="F16:H21" si="2">C16*$B16/1000</f>
        <v>294.58800000000002</v>
      </c>
      <c r="G16">
        <f t="shared" si="2"/>
        <v>574.28</v>
      </c>
      <c r="H16">
        <f t="shared" si="2"/>
        <v>837.80200000000002</v>
      </c>
    </row>
    <row r="17" spans="1:8" x14ac:dyDescent="0.35">
      <c r="A17" t="s">
        <v>146</v>
      </c>
      <c r="B17" s="1">
        <v>1908</v>
      </c>
      <c r="C17">
        <v>210</v>
      </c>
      <c r="D17">
        <v>183</v>
      </c>
      <c r="E17">
        <v>276.88</v>
      </c>
      <c r="F17">
        <f t="shared" si="2"/>
        <v>400.68</v>
      </c>
      <c r="G17">
        <f t="shared" si="2"/>
        <v>349.16399999999999</v>
      </c>
      <c r="H17">
        <f t="shared" si="2"/>
        <v>528.28704000000005</v>
      </c>
    </row>
    <row r="18" spans="1:8" x14ac:dyDescent="0.35">
      <c r="A18" t="s">
        <v>147</v>
      </c>
      <c r="B18" s="1">
        <v>2256</v>
      </c>
      <c r="C18">
        <v>1110.07</v>
      </c>
      <c r="D18">
        <v>916</v>
      </c>
      <c r="E18">
        <v>1266.0999999999999</v>
      </c>
      <c r="F18">
        <f t="shared" si="2"/>
        <v>2504.31792</v>
      </c>
      <c r="G18">
        <f t="shared" si="2"/>
        <v>2066.4960000000001</v>
      </c>
      <c r="H18">
        <f t="shared" si="2"/>
        <v>2856.3215999999998</v>
      </c>
    </row>
    <row r="19" spans="1:8" x14ac:dyDescent="0.35">
      <c r="A19" t="s">
        <v>148</v>
      </c>
      <c r="B19" s="2">
        <v>1530</v>
      </c>
      <c r="C19">
        <v>1018.88</v>
      </c>
      <c r="D19">
        <v>945</v>
      </c>
      <c r="E19">
        <v>793.22</v>
      </c>
      <c r="F19">
        <f t="shared" si="2"/>
        <v>1558.8863999999999</v>
      </c>
      <c r="G19">
        <f t="shared" si="2"/>
        <v>1445.85</v>
      </c>
      <c r="H19">
        <f t="shared" si="2"/>
        <v>1213.6266000000001</v>
      </c>
    </row>
    <row r="20" spans="1:8" x14ac:dyDescent="0.35">
      <c r="A20" t="s">
        <v>149</v>
      </c>
      <c r="B20" s="2">
        <v>4728</v>
      </c>
      <c r="C20">
        <v>1.3</v>
      </c>
      <c r="D20">
        <v>5</v>
      </c>
      <c r="E20">
        <v>16.5</v>
      </c>
      <c r="F20">
        <f t="shared" si="2"/>
        <v>6.1464000000000008</v>
      </c>
      <c r="G20">
        <f t="shared" si="2"/>
        <v>23.64</v>
      </c>
      <c r="H20">
        <f t="shared" si="2"/>
        <v>78.012</v>
      </c>
    </row>
    <row r="21" spans="1:8" x14ac:dyDescent="0.35">
      <c r="A21" t="s">
        <v>150</v>
      </c>
      <c r="B21" s="1">
        <v>771</v>
      </c>
      <c r="C21">
        <v>20.100000000000001</v>
      </c>
      <c r="D21">
        <v>20</v>
      </c>
      <c r="E21">
        <v>0</v>
      </c>
      <c r="F21">
        <f t="shared" si="2"/>
        <v>15.4971</v>
      </c>
      <c r="G21">
        <f t="shared" si="2"/>
        <v>15.42</v>
      </c>
      <c r="H21">
        <f t="shared" si="2"/>
        <v>0</v>
      </c>
    </row>
    <row r="22" spans="1:8" x14ac:dyDescent="0.35">
      <c r="A22" t="s">
        <v>151</v>
      </c>
      <c r="F22">
        <f>SUM(F16:F21)</f>
        <v>4780.1158199999991</v>
      </c>
      <c r="G22">
        <f>SUM(G16:G21)</f>
        <v>4474.8500000000004</v>
      </c>
      <c r="H22">
        <f>SUM(H16:H21)</f>
        <v>5514.0492399999994</v>
      </c>
    </row>
    <row r="24" spans="1:8" x14ac:dyDescent="0.35">
      <c r="A24" t="s">
        <v>132</v>
      </c>
      <c r="B24" t="s">
        <v>168</v>
      </c>
      <c r="C24" t="s">
        <v>169</v>
      </c>
      <c r="D24" t="s">
        <v>172</v>
      </c>
      <c r="E24" t="s">
        <v>170</v>
      </c>
      <c r="F24" t="s">
        <v>137</v>
      </c>
      <c r="G24" t="s">
        <v>138</v>
      </c>
    </row>
    <row r="25" spans="1:8" x14ac:dyDescent="0.35">
      <c r="A25" t="s">
        <v>11</v>
      </c>
      <c r="B25">
        <f>E9</f>
        <v>4295.2806</v>
      </c>
      <c r="C25">
        <f>F22</f>
        <v>4780.1158199999991</v>
      </c>
      <c r="D25">
        <f>B25+C25</f>
        <v>9075.3964199999991</v>
      </c>
      <c r="E25">
        <f>F9</f>
        <v>8745</v>
      </c>
      <c r="F25">
        <f>D25-E25</f>
        <v>330.39641999999913</v>
      </c>
      <c r="G25">
        <f>(F25/E25)*100</f>
        <v>3.7781180102915854</v>
      </c>
    </row>
    <row r="26" spans="1:8" x14ac:dyDescent="0.35">
      <c r="A26" t="s">
        <v>16</v>
      </c>
      <c r="B26">
        <f>E10</f>
        <v>3019.0562999999997</v>
      </c>
      <c r="C26">
        <f>G22</f>
        <v>4474.8500000000004</v>
      </c>
      <c r="D26">
        <f>B26+C26</f>
        <v>7493.9063000000006</v>
      </c>
      <c r="E26">
        <f>F10</f>
        <v>7150</v>
      </c>
      <c r="F26">
        <f>D26-E26</f>
        <v>343.90630000000056</v>
      </c>
      <c r="G26">
        <f t="shared" ref="G26:G27" si="3">(F26/E26)*100</f>
        <v>4.8098783216783296</v>
      </c>
    </row>
    <row r="27" spans="1:8" x14ac:dyDescent="0.35">
      <c r="A27" t="s">
        <v>18</v>
      </c>
      <c r="B27">
        <f>E11</f>
        <v>2878.9331999999995</v>
      </c>
      <c r="C27">
        <f>H22</f>
        <v>5514.0492399999994</v>
      </c>
      <c r="D27">
        <f>B27+C27</f>
        <v>8392.9824399999998</v>
      </c>
      <c r="E27">
        <f>F11</f>
        <v>8593</v>
      </c>
      <c r="F27">
        <f>D27-E27</f>
        <v>-200.01756000000023</v>
      </c>
      <c r="G27">
        <f t="shared" si="3"/>
        <v>-2.3276802048178777</v>
      </c>
    </row>
    <row r="29" spans="1:8" x14ac:dyDescent="0.35">
      <c r="A29" t="s">
        <v>158</v>
      </c>
    </row>
    <row r="32" spans="1:8" x14ac:dyDescent="0.35">
      <c r="A32" t="s">
        <v>132</v>
      </c>
      <c r="B32" t="s">
        <v>173</v>
      </c>
      <c r="C32" t="s">
        <v>156</v>
      </c>
      <c r="D32" t="s">
        <v>160</v>
      </c>
      <c r="E32" t="s">
        <v>174</v>
      </c>
      <c r="F32" t="s">
        <v>159</v>
      </c>
    </row>
    <row r="33" spans="1:6" x14ac:dyDescent="0.35">
      <c r="A33" t="s">
        <v>11</v>
      </c>
      <c r="B33" s="5">
        <v>47331</v>
      </c>
      <c r="C33">
        <v>2.46</v>
      </c>
      <c r="D33">
        <f>B33/C33</f>
        <v>19240.243902439026</v>
      </c>
      <c r="E33">
        <f>D25+D2</f>
        <v>51495.267001</v>
      </c>
      <c r="F33">
        <f>E33/D33</f>
        <v>2.6764352500995119</v>
      </c>
    </row>
    <row r="34" spans="1:6" x14ac:dyDescent="0.35">
      <c r="A34" t="s">
        <v>16</v>
      </c>
      <c r="B34" s="5">
        <v>63031</v>
      </c>
      <c r="C34">
        <v>3.4</v>
      </c>
      <c r="D34">
        <f>B34/C34</f>
        <v>18538.529411764706</v>
      </c>
      <c r="E34">
        <f>D26+D3</f>
        <v>70692.761474999992</v>
      </c>
      <c r="F34">
        <f>E34/D34</f>
        <v>3.8132885249321755</v>
      </c>
    </row>
    <row r="35" spans="1:6" x14ac:dyDescent="0.35">
      <c r="A35" t="s">
        <v>18</v>
      </c>
      <c r="B35" s="5">
        <v>70945</v>
      </c>
      <c r="C35">
        <v>3.9</v>
      </c>
      <c r="D35">
        <f>B35/C35</f>
        <v>18191.025641025641</v>
      </c>
      <c r="E35">
        <f>D27+D4</f>
        <v>79576.353570999985</v>
      </c>
      <c r="F35">
        <f>E35/D35</f>
        <v>4.3744841627584741</v>
      </c>
    </row>
    <row r="37" spans="1:6" x14ac:dyDescent="0.35">
      <c r="A37" t="s">
        <v>154</v>
      </c>
      <c r="B37">
        <f>850434/44.12</f>
        <v>19275.475974614688</v>
      </c>
    </row>
    <row r="39" spans="1:6" x14ac:dyDescent="0.35">
      <c r="A39" t="s">
        <v>155</v>
      </c>
    </row>
  </sheetData>
  <pageMargins left="0.7" right="0.7" top="0.75" bottom="0.75" header="0.3" footer="0.3"/>
  <tableParts count="4">
    <tablePart r:id="rId1"/>
    <tablePart r:id="rId2"/>
    <tablePart r:id="rId3"/>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DE963-E98E-4F36-AD08-9DA2AC592FAC}">
  <dimension ref="A1:C14"/>
  <sheetViews>
    <sheetView workbookViewId="0">
      <selection activeCell="F3" sqref="F3"/>
    </sheetView>
  </sheetViews>
  <sheetFormatPr defaultRowHeight="14.5" x14ac:dyDescent="0.35"/>
  <cols>
    <col min="1" max="1" width="20.81640625" style="8" bestFit="1" customWidth="1"/>
    <col min="2" max="2" width="90.6328125" style="7" customWidth="1"/>
    <col min="3" max="3" width="14.36328125" style="8" customWidth="1"/>
  </cols>
  <sheetData>
    <row r="1" spans="1:3" x14ac:dyDescent="0.35">
      <c r="A1" s="8" t="s">
        <v>179</v>
      </c>
      <c r="B1" s="7" t="s">
        <v>180</v>
      </c>
      <c r="C1" s="8" t="s">
        <v>217</v>
      </c>
    </row>
    <row r="2" spans="1:3" ht="58" x14ac:dyDescent="0.35">
      <c r="A2" s="8" t="s">
        <v>181</v>
      </c>
      <c r="B2" s="7" t="s">
        <v>182</v>
      </c>
      <c r="C2" s="8" t="s">
        <v>183</v>
      </c>
    </row>
    <row r="3" spans="1:3" ht="58" x14ac:dyDescent="0.35">
      <c r="A3" s="8" t="s">
        <v>184</v>
      </c>
      <c r="B3" s="7" t="s">
        <v>185</v>
      </c>
      <c r="C3" s="8" t="s">
        <v>186</v>
      </c>
    </row>
    <row r="4" spans="1:3" ht="43.5" x14ac:dyDescent="0.35">
      <c r="A4" s="8" t="s">
        <v>187</v>
      </c>
      <c r="B4" s="7" t="s">
        <v>188</v>
      </c>
      <c r="C4" s="8" t="s">
        <v>189</v>
      </c>
    </row>
    <row r="5" spans="1:3" ht="72.5" x14ac:dyDescent="0.35">
      <c r="A5" s="8" t="s">
        <v>190</v>
      </c>
      <c r="B5" s="7" t="s">
        <v>191</v>
      </c>
      <c r="C5" s="8" t="s">
        <v>192</v>
      </c>
    </row>
    <row r="6" spans="1:3" ht="43.5" x14ac:dyDescent="0.35">
      <c r="A6" s="8" t="s">
        <v>193</v>
      </c>
      <c r="B6" s="7" t="s">
        <v>194</v>
      </c>
      <c r="C6" s="8" t="s">
        <v>195</v>
      </c>
    </row>
    <row r="7" spans="1:3" ht="43.5" x14ac:dyDescent="0.35">
      <c r="A7" s="8" t="s">
        <v>196</v>
      </c>
      <c r="B7" s="7" t="s">
        <v>197</v>
      </c>
      <c r="C7" s="8" t="s">
        <v>198</v>
      </c>
    </row>
    <row r="8" spans="1:3" ht="43.5" x14ac:dyDescent="0.35">
      <c r="A8" s="8" t="s">
        <v>199</v>
      </c>
      <c r="B8" s="7" t="s">
        <v>200</v>
      </c>
      <c r="C8" s="8" t="s">
        <v>192</v>
      </c>
    </row>
    <row r="9" spans="1:3" ht="72.5" x14ac:dyDescent="0.35">
      <c r="A9" s="8" t="s">
        <v>201</v>
      </c>
      <c r="B9" s="7" t="s">
        <v>202</v>
      </c>
      <c r="C9" s="8" t="s">
        <v>203</v>
      </c>
    </row>
    <row r="10" spans="1:3" ht="43.5" x14ac:dyDescent="0.35">
      <c r="A10" s="8" t="s">
        <v>204</v>
      </c>
      <c r="B10" s="7" t="s">
        <v>205</v>
      </c>
      <c r="C10" s="8" t="s">
        <v>206</v>
      </c>
    </row>
    <row r="11" spans="1:3" ht="43.5" x14ac:dyDescent="0.35">
      <c r="A11" s="8" t="s">
        <v>207</v>
      </c>
      <c r="B11" s="7" t="s">
        <v>208</v>
      </c>
      <c r="C11" s="8" t="s">
        <v>192</v>
      </c>
    </row>
    <row r="12" spans="1:3" ht="35" customHeight="1" x14ac:dyDescent="0.35">
      <c r="A12" s="8" t="s">
        <v>26</v>
      </c>
      <c r="B12" s="7" t="s">
        <v>209</v>
      </c>
      <c r="C12" s="8" t="s">
        <v>210</v>
      </c>
    </row>
    <row r="13" spans="1:3" ht="35" customHeight="1" x14ac:dyDescent="0.35">
      <c r="A13" s="8" t="s">
        <v>211</v>
      </c>
      <c r="B13" s="7" t="s">
        <v>212</v>
      </c>
      <c r="C13" s="8" t="s">
        <v>213</v>
      </c>
    </row>
    <row r="14" spans="1:3" ht="35" customHeight="1" x14ac:dyDescent="0.35">
      <c r="A14" s="8" t="s">
        <v>214</v>
      </c>
      <c r="B14" s="7" t="s">
        <v>215</v>
      </c>
      <c r="C14" s="8" t="s">
        <v>216</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01 Source Register</vt:lpstr>
      <vt:lpstr>02 Emission Factors</vt:lpstr>
      <vt:lpstr>03 Calculations</vt:lpstr>
      <vt:lpstr>04 Notes 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Ijlan Ibrahim</dc:creator>
  <cp:lastModifiedBy>Ijlan Ibrahim</cp:lastModifiedBy>
  <dcterms:created xsi:type="dcterms:W3CDTF">2026-10-08T22:19:14Z</dcterms:created>
  <dcterms:modified xsi:type="dcterms:W3CDTF">2026-10-09T13:42:37Z</dcterms:modified>
</cp:coreProperties>
</file>