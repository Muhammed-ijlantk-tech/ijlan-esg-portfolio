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ijlan\Downloads\"/>
    </mc:Choice>
  </mc:AlternateContent>
  <xr:revisionPtr revIDLastSave="0" documentId="8_{D39D8DF6-E830-4A50-87DC-FC54AD436A6D}" xr6:coauthVersionLast="47" xr6:coauthVersionMax="47" xr10:uidLastSave="{00000000-0000-0000-0000-000000000000}"/>
  <bookViews>
    <workbookView xWindow="-110" yWindow="-110" windowWidth="19420" windowHeight="10300" xr2:uid="{0F452435-7DAC-419D-B78C-58D324EEA8B1}"/>
  </bookViews>
  <sheets>
    <sheet name="01 Source Register" sheetId="1" r:id="rId1"/>
    <sheet name="02 Mapping" sheetId="2" r:id="rId2"/>
    <sheet name="03 Coverage" sheetId="3" r:id="rId3"/>
    <sheet name="04 Note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3" l="1"/>
  <c r="B3" i="3"/>
  <c r="B4" i="3"/>
  <c r="B5" i="3"/>
  <c r="B6" i="3"/>
  <c r="B7" i="3"/>
  <c r="B8" i="3"/>
  <c r="B11" i="3" s="1"/>
  <c r="B9" i="3"/>
  <c r="B10" i="3"/>
  <c r="B12" i="3" a="1"/>
  <c r="B12" i="3" s="1"/>
  <c r="B13"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<sst xmlns="http://schemas.openxmlformats.org/spreadsheetml/2006/main" count="360" uniqueCount="180">
  <si>
    <t>Record_ID</t>
  </si>
  <si>
    <t>GRI_Standard</t>
  </si>
  <si>
    <t>Disclosure_ID</t>
  </si>
  <si>
    <t>Disclosure_Title</t>
  </si>
  <si>
    <t>BRSR_Reference</t>
  </si>
  <si>
    <t>Indicator_Type</t>
  </si>
  <si>
    <t>Other_Locations</t>
  </si>
  <si>
    <t>Document</t>
  </si>
  <si>
    <t>Page</t>
  </si>
  <si>
    <t>Source_URL</t>
  </si>
  <si>
    <t>Notes</t>
  </si>
  <si>
    <t>GRI-001</t>
  </si>
  <si>
    <t>GRI 302: Energy 2016</t>
  </si>
  <si>
    <t>302-1</t>
  </si>
  <si>
    <t>Energy consumption within the organization</t>
  </si>
  <si>
    <t>Principle 6 - E1</t>
  </si>
  <si>
    <t>Essential</t>
  </si>
  <si>
    <t>ESG Data book: Overall electricity consumption; Data computational methods; Emissions factors used</t>
  </si>
  <si>
    <t>Infosys ESG Data Book 2024–25</t>
  </si>
  <si>
    <t>https://www.infosys.com/sustainability/documents/infosys-esg-databook-2024-25.pdf</t>
  </si>
  <si>
    <t>Omission 302-1 d: not applicable, Infosys is an IT services company and does not produce or sell energy</t>
  </si>
  <si>
    <t>GRI-002</t>
  </si>
  <si>
    <t>302-2</t>
  </si>
  <si>
    <t>Energy consumption outside of the organization</t>
  </si>
  <si>
    <t>GRI-003</t>
  </si>
  <si>
    <t>302-3</t>
  </si>
  <si>
    <t>Energy intensity</t>
  </si>
  <si>
    <t>ESG Data book: Overall electricity consumption; Data computational methods</t>
  </si>
  <si>
    <t>GRI-004</t>
  </si>
  <si>
    <t>302-4</t>
  </si>
  <si>
    <t>Reduction of energy consumption</t>
  </si>
  <si>
    <t>Principle 6 - E8, L4</t>
  </si>
  <si>
    <t>Essential and Leadership</t>
  </si>
  <si>
    <t>ESG Data book: Emission reduction initiatives; Data computational methods</t>
  </si>
  <si>
    <t>GRI-005</t>
  </si>
  <si>
    <t>GRI 303: Water and Effluents 2018</t>
  </si>
  <si>
    <t>303-1</t>
  </si>
  <si>
    <t>Interactions with water as a shared resource</t>
  </si>
  <si>
    <t>Not referenced</t>
  </si>
  <si>
    <t>None</t>
  </si>
  <si>
    <t>ESG Report: Water</t>
  </si>
  <si>
    <t>GRI-006</t>
  </si>
  <si>
    <t>303-2</t>
  </si>
  <si>
    <t>Management of water discharge-related impacts</t>
  </si>
  <si>
    <t>ESG Report: Conservation practices</t>
  </si>
  <si>
    <t>GRI-007</t>
  </si>
  <si>
    <t>303-3</t>
  </si>
  <si>
    <t>Water withdrawal</t>
  </si>
  <si>
    <t>Principle 6 - E3</t>
  </si>
  <si>
    <t>ESG Data book: Freshwater consumption; Data computational methods</t>
  </si>
  <si>
    <t>GRI-008</t>
  </si>
  <si>
    <t>303-4</t>
  </si>
  <si>
    <t>Water discharge</t>
  </si>
  <si>
    <t>Principle 6 - E4</t>
  </si>
  <si>
    <t>GRI-009</t>
  </si>
  <si>
    <t>303-5</t>
  </si>
  <si>
    <t>Water consumption</t>
  </si>
  <si>
    <t>GRI-010</t>
  </si>
  <si>
    <t>GRI 305: Emissions 2016</t>
  </si>
  <si>
    <t>305-1</t>
  </si>
  <si>
    <t>Direct (Scope 1) GHG emissions</t>
  </si>
  <si>
    <t>Principle 6 - E7</t>
  </si>
  <si>
    <t>ESG Data book: GHG Emissions; Data computational methods; Emissions factors used</t>
  </si>
  <si>
    <t>The index prints Priciple instead of Principle</t>
  </si>
  <si>
    <t>GRI-011</t>
  </si>
  <si>
    <t>305-2</t>
  </si>
  <si>
    <t>Energy indirect (Scope 2) GHG emissions</t>
  </si>
  <si>
    <t>GRI-012</t>
  </si>
  <si>
    <t>305-3</t>
  </si>
  <si>
    <t>Other indirect (Scope 3) GHG emissions</t>
  </si>
  <si>
    <t>Principle 6 - L2</t>
  </si>
  <si>
    <t>Leadership</t>
  </si>
  <si>
    <t>GRI-013</t>
  </si>
  <si>
    <t>305-4</t>
  </si>
  <si>
    <t>GHG emissions intensity</t>
  </si>
  <si>
    <t>Principle 6 - E7, L2</t>
  </si>
  <si>
    <t>ESG Data book: Emission intensity; Data computational methods; Emissions factors used</t>
  </si>
  <si>
    <t>GRI-014</t>
  </si>
  <si>
    <t>305-5</t>
  </si>
  <si>
    <t>Reduction of GHG emissions</t>
  </si>
  <si>
    <t>Principle 6 - E8</t>
  </si>
  <si>
    <t>ESG Data book: Emission reduction initiative; Data computational methods</t>
  </si>
  <si>
    <t>GRI-015</t>
  </si>
  <si>
    <t>305-6</t>
  </si>
  <si>
    <t>Emissions of ozone-depleting substances (ODS)</t>
  </si>
  <si>
    <t>ESG Data book: Ozone-depleting substances</t>
  </si>
  <si>
    <t>GRI-016</t>
  </si>
  <si>
    <t>305-7</t>
  </si>
  <si>
    <t>Nitrogen oxides (NOx), sulfur oxides (SOx), and other significant air emissions</t>
  </si>
  <si>
    <t>Principle 6 - E6</t>
  </si>
  <si>
    <t>GRI-017</t>
  </si>
  <si>
    <t>GRI 306: Waste 2020</t>
  </si>
  <si>
    <t>306-1</t>
  </si>
  <si>
    <t>Waste generation and significant waste-related impacts</t>
  </si>
  <si>
    <t>ESG Report: Waste</t>
  </si>
  <si>
    <t>GRI-018</t>
  </si>
  <si>
    <t>306-2</t>
  </si>
  <si>
    <t>Management of significant waste-related impacts</t>
  </si>
  <si>
    <t>GRI-019</t>
  </si>
  <si>
    <t>306-3</t>
  </si>
  <si>
    <t>Waste generated</t>
  </si>
  <si>
    <t>Principle 6 - E9</t>
  </si>
  <si>
    <t>ESG Data book: Waste generation and disposal</t>
  </si>
  <si>
    <t>GRI-020</t>
  </si>
  <si>
    <t>306-4</t>
  </si>
  <si>
    <t>Waste diverted from disposal</t>
  </si>
  <si>
    <t>GRI-021</t>
  </si>
  <si>
    <t>306-5</t>
  </si>
  <si>
    <t>Waste directed to disposal</t>
  </si>
  <si>
    <t>Covered_in_my_work</t>
  </si>
  <si>
    <t>Where_in_my_work</t>
  </si>
  <si>
    <t>Next_Step</t>
  </si>
  <si>
    <t>Yes</t>
  </si>
  <si>
    <t>Project 1: electricity (kWh) and energy (GJ), FY2023–FY2025, Data Book page 32</t>
  </si>
  <si>
    <t>No</t>
  </si>
  <si>
    <t>Not extracted</t>
  </si>
  <si>
    <t>Check the Data Book for outside-organization energy data</t>
  </si>
  <si>
    <t>Partial</t>
  </si>
  <si>
    <t>Project 2: energy intensity 44.12 GJ per US$ million used as a revenue cross-check</t>
  </si>
  <si>
    <t>Add the three-year energy intensity values</t>
  </si>
  <si>
    <t>Extract from Data Book: Emission reduction initiatives</t>
  </si>
  <si>
    <t>Qualitative, ESG Report only</t>
  </si>
  <si>
    <t>Out of scope: no numbers to extract</t>
  </si>
  <si>
    <t>Not in the workbooks yet</t>
  </si>
  <si>
    <t>Extract water data from Data Book page 36</t>
  </si>
  <si>
    <t>Project 2: reported Scope 1 and my estimate, FY2023–FY2025</t>
  </si>
  <si>
    <t>Project 2: reported Scope 2 and my estimate, FY2023–FY2025</t>
  </si>
  <si>
    <t>Project 2: reported Scope 3 by category, FY2023–FY2025</t>
  </si>
  <si>
    <t>Project 2: reported intensity 2.46, 3.40 and 3.90 and my estimate</t>
  </si>
  <si>
    <t>Extract from Data Book: Emission reduction initiative</t>
  </si>
  <si>
    <t>Project 2: refrigerant quantities (page 35) used for Scope 1; ODS equivalents not used</t>
  </si>
  <si>
    <t>Add the ODS table from page 35</t>
  </si>
  <si>
    <t>Check the BRSR in the Integrated Annual Report</t>
  </si>
  <si>
    <t>Project 1: hazardous waste records only, Data Book page 36</t>
  </si>
  <si>
    <t>Add non-hazardous waste and a sourced total</t>
  </si>
  <si>
    <t>Project 1: hazardous waste by recycling and recovery only</t>
  </si>
  <si>
    <t>Add non-hazardous waste</t>
  </si>
  <si>
    <t>Project 1: hazardous waste by incineration and landfill only</t>
  </si>
  <si>
    <t>Measure</t>
  </si>
  <si>
    <t>Count</t>
  </si>
  <si>
    <t>GRI environmental disclosures in the index (pages 48-50)</t>
  </si>
  <si>
    <t>With a BRSR reference</t>
  </si>
  <si>
    <t>Without a BRSR reference</t>
  </si>
  <si>
    <t>Essential indicators only</t>
  </si>
  <si>
    <t>Leadership indicators only</t>
  </si>
  <si>
    <t>Covered in my work: Yes</t>
  </si>
  <si>
    <t>Covered in my work: Partial</t>
  </si>
  <si>
    <t>Covered in my work: No</t>
  </si>
  <si>
    <t>Share covered (Yes or Partial)</t>
  </si>
  <si>
    <t>BRSR-referenced disclosures covered (Yes or Partial)</t>
  </si>
  <si>
    <t>Share of BRSR-referenced disclosures covered</t>
  </si>
  <si>
    <t>Topic</t>
  </si>
  <si>
    <t>Note</t>
  </si>
  <si>
    <t>Source_Pages</t>
  </si>
  <si>
    <t>Purpose</t>
  </si>
  <si>
    <t>This project maps the environmental GRI disclosures (GRI 302, 303, 305 and 306) in the Infosys GRI content index to the BRSR references given in the same index, and compares them with the data extracted in Projects 1 and 2.</t>
  </si>
  <si>
    <t>44, 48-50</t>
  </si>
  <si>
    <t>Scope</t>
  </si>
  <si>
    <t>Only 21 environmental disclosures are included. Social and governance disclosures and the general management-approach disclosure (GRI 3-3) are not included. The reporting period is April 1, 2024 to March 31, 2025.</t>
  </si>
  <si>
    <t>Data source and limit</t>
  </si>
  <si>
    <t>The BRSR references come from the GRI content index in the Data Book. The BRSR itself, which is in the Integrated Annual Report, was not read. So no BRSR values were extracted and BRSR Core is not covered.</t>
  </si>
  <si>
    <t>Coverage result</t>
  </si>
  <si>
    <t>16 of the 21 disclosures point to a BRSR Principle 6 indicator (13 Essential, 1 Leadership and 2 both). 5 disclosures have no BRSR reference: 303-1, 303-2, 305-6, 306-1 and 306-2.</t>
  </si>
  <si>
    <t>48-50</t>
  </si>
  <si>
    <t>Disclosures without BRSR reference</t>
  </si>
  <si>
    <t>Four of the five (303-1, 303-2, 306-1 and 306-2) are descriptive disclosures reported in the ESG Report. 305-6 (ozone-depleting substances) is reported in the Data Book only.</t>
  </si>
  <si>
    <t>Scope 1, 2 and 3</t>
  </si>
  <si>
    <t>Scope 1 and Scope 2 (305-1 and 305-2) map to Essential indicator E7. Scope 3 (305-3) maps to Leadership indicator L2. E means Essential and L means Leadership, as in the BRSR format.</t>
  </si>
  <si>
    <t>My coverage</t>
  </si>
  <si>
    <t>My work covers 10 of the 21 disclosures: 5 fully (302-1 and 305-1 to 305-4) and 5 partly (302-3, 305-6, 306-3, 306-4 and 306-5). Of the 16 disclosures with a BRSR reference, 9 are covered (56.3%).</t>
  </si>
  <si>
    <t>See sheet 02 Mapping</t>
  </si>
  <si>
    <t>Gaps and next steps</t>
  </si>
  <si>
    <t>The largest gap is water (303-3 to 303-5). Next are energy reduction (302-4) and emission reduction (305-5). Waste is only partly covered because Project 1 holds hazardous waste records only.</t>
  </si>
  <si>
    <t>Spelling in source</t>
  </si>
  <si>
    <t>The index prints Priciple instead of Principle for 305-1 and 305-2. The reference was recorded as Principle 6 - E7.</t>
  </si>
  <si>
    <t>Omission</t>
  </si>
  <si>
    <t>GRI 302-1 d is marked not applicable because Infosys is an IT services company and does not produce or sell energy.</t>
  </si>
  <si>
    <t>Disclaimer</t>
  </si>
  <si>
    <t>This is an independent analysis of public Infosys information. It is not an official GRI or BRSR assessment, and the Infosys disclosures remain the reference.</t>
  </si>
  <si>
    <t>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</si>
</sst>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F5E1BA-ABC3-4D41-BFF2-36CC3CFD9E35}" name="Table1" displayName="Table1" ref="A1:K22" totalsRowShown="0">
  <autoFilter ref="A1:K22" xr:uid="{70F5E1BA-ABC3-4D41-BFF2-36CC3CFD9E35}"/>
  <tableColumns count="11">
    <tableColumn id="1" xr3:uid="{A90C808E-09EA-4775-81CA-84AB26574F68}" name="Record_ID"/>
    <tableColumn id="2" xr3:uid="{1F0CB8B3-B62B-4F04-BE4E-E62D55B375E8}" name="GRI_Standard"/>
    <tableColumn id="3" xr3:uid="{C304EC2C-F5CC-4877-9B98-0C440AC0B8E8}" name="Disclosure_ID"/>
    <tableColumn id="4" xr3:uid="{384E7C20-68D4-4594-9519-E4D2CB47A06B}" name="Disclosure_Title"/>
    <tableColumn id="5" xr3:uid="{840066B8-6E56-4796-9CC4-0CD87BE83CDF}" name="BRSR_Reference"/>
    <tableColumn id="6" xr3:uid="{B1C333D1-1272-40E4-B129-84BAA58BE702}" name="Indicator_Type"/>
    <tableColumn id="7" xr3:uid="{25612098-DC3F-4413-A219-BC9E30078874}" name="Other_Locations"/>
    <tableColumn id="8" xr3:uid="{C5B8C200-0917-42CE-A6BA-A904C8E4A0E5}" name="Document"/>
    <tableColumn id="9" xr3:uid="{7851C6CD-C9B8-4F92-85EF-BC078ABC5FBA}" name="Page"/>
    <tableColumn id="10" xr3:uid="{4E8CB748-8CE1-461E-89B5-E50CE2D147F4}" name="Source_URL"/>
    <tableColumn id="11" xr3:uid="{C4F5CC79-3A68-435C-999A-BF8824A1B1EF}"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7677E3C-BFC3-428E-AB83-4464AD1015B0}" name="Table2" displayName="Table2" ref="A1:E22" totalsRowShown="0">
  <autoFilter ref="A1:E22" xr:uid="{77677E3C-BFC3-428E-AB83-4464AD1015B0}"/>
  <tableColumns count="5">
    <tableColumn id="1" xr3:uid="{E0BC3226-AF5B-42EE-BCC7-94C068FEFE1E}" name="Disclosure_ID"/>
    <tableColumn id="2" xr3:uid="{72E3D958-4913-4314-87BD-6B8DF34A927D}" name="Disclosure_Title"/>
    <tableColumn id="3" xr3:uid="{C1DEAB56-D930-4D1C-8666-ECF3D14EADF4}" name="Covered_in_my_work"/>
    <tableColumn id="4" xr3:uid="{F3CDDC4F-67DB-4359-B45B-8E639041DE18}" name="Where_in_my_work"/>
    <tableColumn id="5" xr3:uid="{C756E615-251E-4195-B215-D8E1867BB587}" name="Next_Step"/>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F27F66-B50C-4E13-87EB-EAF866C222E1}" name="Table3" displayName="Table3" ref="A1:B13" totalsRowShown="0">
  <autoFilter ref="A1:B13" xr:uid="{FEF27F66-B50C-4E13-87EB-EAF866C222E1}"/>
  <tableColumns count="2">
    <tableColumn id="1" xr3:uid="{FD971890-2297-4D9C-BF1B-8E3BDE334521}" name="Measure"/>
    <tableColumn id="2" xr3:uid="{2458912E-DCD1-4E5E-A348-4F063B3629C5}" name="Coun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080ACF1-5EC6-4F54-AECC-1261E450E37F}" name="Table4" displayName="Table4" ref="A1:C12" totalsRowShown="0">
  <autoFilter ref="A1:C12" xr:uid="{B080ACF1-5EC6-4F54-AECC-1261E450E37F}"/>
  <tableColumns count="3">
    <tableColumn id="1" xr3:uid="{FB86284F-F505-4A04-AA75-AC473B8CD253}" name="Topic"/>
    <tableColumn id="2" xr3:uid="{D8F8D98D-3584-4010-AA20-06851E02925D}" name="Note"/>
    <tableColumn id="3" xr3:uid="{36962F2E-2E99-4244-8D19-C143D81E23D5}" name="Source_Pag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49768-DF81-4340-9E89-EB90AA3D177D}">
  <dimension ref="A1:K22"/>
  <sheetViews>
    <sheetView tabSelected="1" topLeftCell="C7" workbookViewId="0">
      <selection sqref="A1:K22"/>
    </sheetView>
  </sheetViews>
  <sheetFormatPr defaultRowHeight="14.5" x14ac:dyDescent="0.35"/>
  <cols>
    <col min="1" max="1" width="11.36328125" customWidth="1"/>
    <col min="2" max="2" width="14.26953125" customWidth="1"/>
    <col min="3" max="3" width="14.36328125" customWidth="1"/>
    <col min="4" max="4" width="16.1796875" customWidth="1"/>
    <col min="5" max="5" width="16.7265625" customWidth="1"/>
    <col min="6" max="6" width="15.08984375" customWidth="1"/>
    <col min="7" max="7" width="84.08984375" bestFit="1" customWidth="1"/>
    <col min="8" max="8" width="26.26953125" bestFit="1" customWidth="1"/>
    <col min="10" max="10" width="71.6328125" bestFit="1" customWidth="1"/>
    <col min="11" max="11" width="84.453125" bestFit="1" customWidth="1"/>
  </cols>
  <sheetData>
    <row r="1" spans="1:11" x14ac:dyDescent="0.35">
      <c r="A1" t="s">
        <v>0</v>
      </c>
      <c r="B1" t="s">
        <v>1</v>
      </c>
      <c r="C1" t="s">
        <v>2</v>
      </c>
      <c r="D1" t="s">
        <v>3</v>
      </c>
      <c r="E1" t="s">
        <v>4</v>
      </c>
      <c r="F1" t="s">
        <v>5</v>
      </c>
      <c r="G1" t="s">
        <v>6</v>
      </c>
      <c r="H1" t="s">
        <v>7</v>
      </c>
      <c r="I1" t="s">
        <v>8</v>
      </c>
      <c r="J1" t="s">
        <v>9</v>
      </c>
      <c r="K1" t="s">
        <v>10</v>
      </c>
    </row>
    <row r="2" spans="1:11" x14ac:dyDescent="0.35">
      <c r="A2" t="s">
        <v>11</v>
      </c>
      <c r="B2" t="s">
        <v>12</v>
      </c>
      <c r="C2" t="s">
        <v>13</v>
      </c>
      <c r="D2" t="s">
        <v>14</v>
      </c>
      <c r="E2" t="s">
        <v>15</v>
      </c>
      <c r="F2" t="s">
        <v>16</v>
      </c>
      <c r="G2" t="s">
        <v>17</v>
      </c>
      <c r="H2" t="s">
        <v>18</v>
      </c>
      <c r="I2">
        <v>48</v>
      </c>
      <c r="J2" t="s">
        <v>19</v>
      </c>
      <c r="K2" t="s">
        <v>20</v>
      </c>
    </row>
    <row r="3" spans="1:11" x14ac:dyDescent="0.35">
      <c r="A3" t="s">
        <v>21</v>
      </c>
      <c r="B3" t="s">
        <v>12</v>
      </c>
      <c r="C3" t="s">
        <v>22</v>
      </c>
      <c r="D3" t="s">
        <v>23</v>
      </c>
      <c r="E3" t="s">
        <v>15</v>
      </c>
      <c r="F3" t="s">
        <v>16</v>
      </c>
      <c r="G3" t="s">
        <v>17</v>
      </c>
      <c r="H3" t="s">
        <v>18</v>
      </c>
      <c r="I3">
        <v>48</v>
      </c>
      <c r="J3" t="s">
        <v>19</v>
      </c>
    </row>
    <row r="4" spans="1:11" x14ac:dyDescent="0.35">
      <c r="A4" t="s">
        <v>24</v>
      </c>
      <c r="B4" t="s">
        <v>12</v>
      </c>
      <c r="C4" t="s">
        <v>25</v>
      </c>
      <c r="D4" t="s">
        <v>26</v>
      </c>
      <c r="E4" t="s">
        <v>15</v>
      </c>
      <c r="F4" t="s">
        <v>16</v>
      </c>
      <c r="G4" t="s">
        <v>27</v>
      </c>
      <c r="H4" t="s">
        <v>18</v>
      </c>
      <c r="I4">
        <v>48</v>
      </c>
      <c r="J4" t="s">
        <v>19</v>
      </c>
    </row>
    <row r="5" spans="1:11" x14ac:dyDescent="0.35">
      <c r="A5" t="s">
        <v>28</v>
      </c>
      <c r="B5" t="s">
        <v>12</v>
      </c>
      <c r="C5" t="s">
        <v>29</v>
      </c>
      <c r="D5" t="s">
        <v>30</v>
      </c>
      <c r="E5" t="s">
        <v>31</v>
      </c>
      <c r="F5" t="s">
        <v>32</v>
      </c>
      <c r="G5" t="s">
        <v>33</v>
      </c>
      <c r="H5" t="s">
        <v>18</v>
      </c>
      <c r="I5">
        <v>48</v>
      </c>
      <c r="J5" t="s">
        <v>19</v>
      </c>
    </row>
    <row r="6" spans="1:11" x14ac:dyDescent="0.35">
      <c r="A6" t="s">
        <v>34</v>
      </c>
      <c r="B6" t="s">
        <v>35</v>
      </c>
      <c r="C6" t="s">
        <v>36</v>
      </c>
      <c r="D6" t="s">
        <v>37</v>
      </c>
      <c r="E6" t="s">
        <v>38</v>
      </c>
      <c r="F6" t="s">
        <v>39</v>
      </c>
      <c r="G6" t="s">
        <v>40</v>
      </c>
      <c r="H6" t="s">
        <v>18</v>
      </c>
      <c r="I6">
        <v>48</v>
      </c>
      <c r="J6" t="s">
        <v>19</v>
      </c>
    </row>
    <row r="7" spans="1:11" x14ac:dyDescent="0.35">
      <c r="A7" t="s">
        <v>41</v>
      </c>
      <c r="B7" t="s">
        <v>35</v>
      </c>
      <c r="C7" t="s">
        <v>42</v>
      </c>
      <c r="D7" t="s">
        <v>43</v>
      </c>
      <c r="E7" t="s">
        <v>38</v>
      </c>
      <c r="F7" t="s">
        <v>39</v>
      </c>
      <c r="G7" t="s">
        <v>44</v>
      </c>
      <c r="H7" t="s">
        <v>18</v>
      </c>
      <c r="I7">
        <v>49</v>
      </c>
      <c r="J7" t="s">
        <v>19</v>
      </c>
    </row>
    <row r="8" spans="1:11" x14ac:dyDescent="0.35">
      <c r="A8" t="s">
        <v>45</v>
      </c>
      <c r="B8" t="s">
        <v>35</v>
      </c>
      <c r="C8" t="s">
        <v>46</v>
      </c>
      <c r="D8" t="s">
        <v>47</v>
      </c>
      <c r="E8" t="s">
        <v>48</v>
      </c>
      <c r="F8" t="s">
        <v>16</v>
      </c>
      <c r="G8" t="s">
        <v>49</v>
      </c>
      <c r="H8" t="s">
        <v>18</v>
      </c>
      <c r="I8">
        <v>49</v>
      </c>
      <c r="J8" t="s">
        <v>19</v>
      </c>
    </row>
    <row r="9" spans="1:11" x14ac:dyDescent="0.35">
      <c r="A9" t="s">
        <v>50</v>
      </c>
      <c r="B9" t="s">
        <v>35</v>
      </c>
      <c r="C9" t="s">
        <v>51</v>
      </c>
      <c r="D9" t="s">
        <v>52</v>
      </c>
      <c r="E9" t="s">
        <v>53</v>
      </c>
      <c r="F9" t="s">
        <v>16</v>
      </c>
      <c r="G9" t="s">
        <v>49</v>
      </c>
      <c r="H9" t="s">
        <v>18</v>
      </c>
      <c r="I9">
        <v>49</v>
      </c>
      <c r="J9" t="s">
        <v>19</v>
      </c>
    </row>
    <row r="10" spans="1:11" x14ac:dyDescent="0.35">
      <c r="A10" t="s">
        <v>54</v>
      </c>
      <c r="B10" t="s">
        <v>35</v>
      </c>
      <c r="C10" t="s">
        <v>55</v>
      </c>
      <c r="D10" t="s">
        <v>56</v>
      </c>
      <c r="E10" t="s">
        <v>48</v>
      </c>
      <c r="F10" t="s">
        <v>16</v>
      </c>
      <c r="G10" t="s">
        <v>49</v>
      </c>
      <c r="H10" t="s">
        <v>18</v>
      </c>
      <c r="I10">
        <v>49</v>
      </c>
      <c r="J10" t="s">
        <v>19</v>
      </c>
    </row>
    <row r="11" spans="1:11" x14ac:dyDescent="0.35">
      <c r="A11" t="s">
        <v>57</v>
      </c>
      <c r="B11" t="s">
        <v>58</v>
      </c>
      <c r="C11" t="s">
        <v>59</v>
      </c>
      <c r="D11" t="s">
        <v>60</v>
      </c>
      <c r="E11" t="s">
        <v>61</v>
      </c>
      <c r="F11" t="s">
        <v>16</v>
      </c>
      <c r="G11" t="s">
        <v>62</v>
      </c>
      <c r="H11" t="s">
        <v>18</v>
      </c>
      <c r="I11">
        <v>49</v>
      </c>
      <c r="J11" t="s">
        <v>19</v>
      </c>
      <c r="K11" t="s">
        <v>63</v>
      </c>
    </row>
    <row r="12" spans="1:11" x14ac:dyDescent="0.35">
      <c r="A12" t="s">
        <v>64</v>
      </c>
      <c r="B12" t="s">
        <v>58</v>
      </c>
      <c r="C12" t="s">
        <v>65</v>
      </c>
      <c r="D12" t="s">
        <v>66</v>
      </c>
      <c r="E12" t="s">
        <v>61</v>
      </c>
      <c r="F12" t="s">
        <v>16</v>
      </c>
      <c r="G12" t="s">
        <v>62</v>
      </c>
      <c r="H12" t="s">
        <v>18</v>
      </c>
      <c r="I12">
        <v>49</v>
      </c>
      <c r="J12" t="s">
        <v>19</v>
      </c>
      <c r="K12" t="s">
        <v>63</v>
      </c>
    </row>
    <row r="13" spans="1:11" x14ac:dyDescent="0.35">
      <c r="A13" t="s">
        <v>67</v>
      </c>
      <c r="B13" t="s">
        <v>58</v>
      </c>
      <c r="C13" t="s">
        <v>68</v>
      </c>
      <c r="D13" t="s">
        <v>69</v>
      </c>
      <c r="E13" t="s">
        <v>70</v>
      </c>
      <c r="F13" t="s">
        <v>71</v>
      </c>
      <c r="G13" t="s">
        <v>62</v>
      </c>
      <c r="H13" t="s">
        <v>18</v>
      </c>
      <c r="I13">
        <v>49</v>
      </c>
      <c r="J13" t="s">
        <v>19</v>
      </c>
    </row>
    <row r="14" spans="1:11" x14ac:dyDescent="0.35">
      <c r="A14" t="s">
        <v>72</v>
      </c>
      <c r="B14" t="s">
        <v>58</v>
      </c>
      <c r="C14" t="s">
        <v>73</v>
      </c>
      <c r="D14" t="s">
        <v>74</v>
      </c>
      <c r="E14" t="s">
        <v>75</v>
      </c>
      <c r="F14" t="s">
        <v>32</v>
      </c>
      <c r="G14" t="s">
        <v>76</v>
      </c>
      <c r="H14" t="s">
        <v>18</v>
      </c>
      <c r="I14">
        <v>49</v>
      </c>
      <c r="J14" t="s">
        <v>19</v>
      </c>
    </row>
    <row r="15" spans="1:11" x14ac:dyDescent="0.35">
      <c r="A15" t="s">
        <v>77</v>
      </c>
      <c r="B15" t="s">
        <v>58</v>
      </c>
      <c r="C15" t="s">
        <v>78</v>
      </c>
      <c r="D15" t="s">
        <v>79</v>
      </c>
      <c r="E15" t="s">
        <v>80</v>
      </c>
      <c r="F15" t="s">
        <v>16</v>
      </c>
      <c r="G15" t="s">
        <v>81</v>
      </c>
      <c r="H15" t="s">
        <v>18</v>
      </c>
      <c r="I15">
        <v>49</v>
      </c>
      <c r="J15" t="s">
        <v>19</v>
      </c>
    </row>
    <row r="16" spans="1:11" x14ac:dyDescent="0.35">
      <c r="A16" t="s">
        <v>82</v>
      </c>
      <c r="B16" t="s">
        <v>58</v>
      </c>
      <c r="C16" t="s">
        <v>83</v>
      </c>
      <c r="D16" t="s">
        <v>84</v>
      </c>
      <c r="E16" t="s">
        <v>38</v>
      </c>
      <c r="F16" t="s">
        <v>39</v>
      </c>
      <c r="G16" t="s">
        <v>85</v>
      </c>
      <c r="H16" t="s">
        <v>18</v>
      </c>
      <c r="I16">
        <v>49</v>
      </c>
      <c r="J16" t="s">
        <v>19</v>
      </c>
    </row>
    <row r="17" spans="1:10" x14ac:dyDescent="0.35">
      <c r="A17" t="s">
        <v>86</v>
      </c>
      <c r="B17" t="s">
        <v>58</v>
      </c>
      <c r="C17" t="s">
        <v>87</v>
      </c>
      <c r="D17" t="s">
        <v>88</v>
      </c>
      <c r="E17" t="s">
        <v>89</v>
      </c>
      <c r="F17" t="s">
        <v>16</v>
      </c>
      <c r="G17" t="s">
        <v>38</v>
      </c>
      <c r="H17" t="s">
        <v>18</v>
      </c>
      <c r="I17">
        <v>49</v>
      </c>
      <c r="J17" t="s">
        <v>19</v>
      </c>
    </row>
    <row r="18" spans="1:10" x14ac:dyDescent="0.35">
      <c r="A18" t="s">
        <v>90</v>
      </c>
      <c r="B18" t="s">
        <v>91</v>
      </c>
      <c r="C18" t="s">
        <v>92</v>
      </c>
      <c r="D18" t="s">
        <v>93</v>
      </c>
      <c r="E18" t="s">
        <v>38</v>
      </c>
      <c r="F18" t="s">
        <v>39</v>
      </c>
      <c r="G18" t="s">
        <v>94</v>
      </c>
      <c r="H18" t="s">
        <v>18</v>
      </c>
      <c r="I18">
        <v>50</v>
      </c>
      <c r="J18" t="s">
        <v>19</v>
      </c>
    </row>
    <row r="19" spans="1:10" x14ac:dyDescent="0.35">
      <c r="A19" t="s">
        <v>95</v>
      </c>
      <c r="B19" t="s">
        <v>91</v>
      </c>
      <c r="C19" t="s">
        <v>96</v>
      </c>
      <c r="D19" t="s">
        <v>97</v>
      </c>
      <c r="E19" t="s">
        <v>38</v>
      </c>
      <c r="F19" t="s">
        <v>39</v>
      </c>
      <c r="G19" t="s">
        <v>94</v>
      </c>
      <c r="H19" t="s">
        <v>18</v>
      </c>
      <c r="I19">
        <v>50</v>
      </c>
      <c r="J19" t="s">
        <v>19</v>
      </c>
    </row>
    <row r="20" spans="1:10" x14ac:dyDescent="0.35">
      <c r="A20" t="s">
        <v>98</v>
      </c>
      <c r="B20" t="s">
        <v>91</v>
      </c>
      <c r="C20" t="s">
        <v>99</v>
      </c>
      <c r="D20" t="s">
        <v>100</v>
      </c>
      <c r="E20" t="s">
        <v>101</v>
      </c>
      <c r="F20" t="s">
        <v>16</v>
      </c>
      <c r="G20" t="s">
        <v>102</v>
      </c>
      <c r="H20" t="s">
        <v>18</v>
      </c>
      <c r="I20">
        <v>50</v>
      </c>
      <c r="J20" t="s">
        <v>19</v>
      </c>
    </row>
    <row r="21" spans="1:10" x14ac:dyDescent="0.35">
      <c r="A21" t="s">
        <v>103</v>
      </c>
      <c r="B21" t="s">
        <v>91</v>
      </c>
      <c r="C21" t="s">
        <v>104</v>
      </c>
      <c r="D21" t="s">
        <v>105</v>
      </c>
      <c r="E21" t="s">
        <v>101</v>
      </c>
      <c r="F21" t="s">
        <v>16</v>
      </c>
      <c r="G21" t="s">
        <v>102</v>
      </c>
      <c r="H21" t="s">
        <v>18</v>
      </c>
      <c r="I21">
        <v>50</v>
      </c>
      <c r="J21" t="s">
        <v>19</v>
      </c>
    </row>
    <row r="22" spans="1:10" x14ac:dyDescent="0.35">
      <c r="A22" t="s">
        <v>106</v>
      </c>
      <c r="B22" t="s">
        <v>91</v>
      </c>
      <c r="C22" t="s">
        <v>107</v>
      </c>
      <c r="D22" t="s">
        <v>108</v>
      </c>
      <c r="E22" t="s">
        <v>101</v>
      </c>
      <c r="F22" t="s">
        <v>16</v>
      </c>
      <c r="G22" t="s">
        <v>102</v>
      </c>
      <c r="H22" t="s">
        <v>18</v>
      </c>
      <c r="I22">
        <v>50</v>
      </c>
      <c r="J22" t="s">
        <v>19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17992-3ED0-40E4-9A56-465C10192BA4}">
  <dimension ref="A1:E22"/>
  <sheetViews>
    <sheetView topLeftCell="A9" workbookViewId="0">
      <selection activeCell="I12" sqref="I12"/>
    </sheetView>
  </sheetViews>
  <sheetFormatPr defaultRowHeight="14.5" x14ac:dyDescent="0.35"/>
  <cols>
    <col min="1" max="1" width="10.453125" customWidth="1"/>
    <col min="2" max="2" width="63.6328125" bestFit="1" customWidth="1"/>
    <col min="3" max="3" width="17.81640625" bestFit="1" customWidth="1"/>
    <col min="4" max="4" width="70" bestFit="1" customWidth="1"/>
    <col min="5" max="5" width="47.6328125" bestFit="1" customWidth="1"/>
  </cols>
  <sheetData>
    <row r="1" spans="1:5" x14ac:dyDescent="0.35">
      <c r="A1" t="s">
        <v>2</v>
      </c>
      <c r="B1" t="s">
        <v>3</v>
      </c>
      <c r="C1" t="s">
        <v>109</v>
      </c>
      <c r="D1" t="s">
        <v>110</v>
      </c>
      <c r="E1" t="s">
        <v>111</v>
      </c>
    </row>
    <row r="2" spans="1:5" x14ac:dyDescent="0.35">
      <c r="A2" t="s">
        <v>13</v>
      </c>
      <c r="B2" t="s">
        <v>14</v>
      </c>
      <c r="C2" t="s">
        <v>112</v>
      </c>
      <c r="D2" t="s">
        <v>113</v>
      </c>
      <c r="E2" t="s">
        <v>39</v>
      </c>
    </row>
    <row r="3" spans="1:5" x14ac:dyDescent="0.35">
      <c r="A3" t="s">
        <v>22</v>
      </c>
      <c r="B3" t="s">
        <v>23</v>
      </c>
      <c r="C3" t="s">
        <v>114</v>
      </c>
      <c r="D3" t="s">
        <v>115</v>
      </c>
      <c r="E3" t="s">
        <v>116</v>
      </c>
    </row>
    <row r="4" spans="1:5" x14ac:dyDescent="0.35">
      <c r="A4" t="s">
        <v>25</v>
      </c>
      <c r="B4" t="s">
        <v>26</v>
      </c>
      <c r="C4" t="s">
        <v>117</v>
      </c>
      <c r="D4" t="s">
        <v>118</v>
      </c>
      <c r="E4" t="s">
        <v>119</v>
      </c>
    </row>
    <row r="5" spans="1:5" x14ac:dyDescent="0.35">
      <c r="A5" t="s">
        <v>29</v>
      </c>
      <c r="B5" t="s">
        <v>30</v>
      </c>
      <c r="C5" t="s">
        <v>114</v>
      </c>
      <c r="D5" t="s">
        <v>115</v>
      </c>
      <c r="E5" t="s">
        <v>120</v>
      </c>
    </row>
    <row r="6" spans="1:5" x14ac:dyDescent="0.35">
      <c r="A6" t="s">
        <v>36</v>
      </c>
      <c r="B6" t="s">
        <v>37</v>
      </c>
      <c r="C6" t="s">
        <v>114</v>
      </c>
      <c r="D6" t="s">
        <v>121</v>
      </c>
      <c r="E6" t="s">
        <v>122</v>
      </c>
    </row>
    <row r="7" spans="1:5" x14ac:dyDescent="0.35">
      <c r="A7" t="s">
        <v>42</v>
      </c>
      <c r="B7" t="s">
        <v>43</v>
      </c>
      <c r="C7" t="s">
        <v>114</v>
      </c>
      <c r="D7" t="s">
        <v>121</v>
      </c>
      <c r="E7" t="s">
        <v>122</v>
      </c>
    </row>
    <row r="8" spans="1:5" x14ac:dyDescent="0.35">
      <c r="A8" t="s">
        <v>46</v>
      </c>
      <c r="B8" t="s">
        <v>47</v>
      </c>
      <c r="C8" t="s">
        <v>114</v>
      </c>
      <c r="D8" t="s">
        <v>123</v>
      </c>
      <c r="E8" t="s">
        <v>124</v>
      </c>
    </row>
    <row r="9" spans="1:5" x14ac:dyDescent="0.35">
      <c r="A9" t="s">
        <v>51</v>
      </c>
      <c r="B9" t="s">
        <v>52</v>
      </c>
      <c r="C9" t="s">
        <v>114</v>
      </c>
      <c r="D9" t="s">
        <v>123</v>
      </c>
      <c r="E9" t="s">
        <v>124</v>
      </c>
    </row>
    <row r="10" spans="1:5" x14ac:dyDescent="0.35">
      <c r="A10" t="s">
        <v>55</v>
      </c>
      <c r="B10" t="s">
        <v>56</v>
      </c>
      <c r="C10" t="s">
        <v>114</v>
      </c>
      <c r="D10" t="s">
        <v>123</v>
      </c>
      <c r="E10" t="s">
        <v>124</v>
      </c>
    </row>
    <row r="11" spans="1:5" x14ac:dyDescent="0.35">
      <c r="A11" t="s">
        <v>59</v>
      </c>
      <c r="B11" t="s">
        <v>60</v>
      </c>
      <c r="C11" t="s">
        <v>112</v>
      </c>
      <c r="D11" t="s">
        <v>125</v>
      </c>
      <c r="E11" t="s">
        <v>39</v>
      </c>
    </row>
    <row r="12" spans="1:5" x14ac:dyDescent="0.35">
      <c r="A12" t="s">
        <v>65</v>
      </c>
      <c r="B12" t="s">
        <v>66</v>
      </c>
      <c r="C12" t="s">
        <v>112</v>
      </c>
      <c r="D12" t="s">
        <v>126</v>
      </c>
      <c r="E12" t="s">
        <v>39</v>
      </c>
    </row>
    <row r="13" spans="1:5" x14ac:dyDescent="0.35">
      <c r="A13" t="s">
        <v>68</v>
      </c>
      <c r="B13" t="s">
        <v>69</v>
      </c>
      <c r="C13" t="s">
        <v>112</v>
      </c>
      <c r="D13" t="s">
        <v>127</v>
      </c>
      <c r="E13" t="s">
        <v>39</v>
      </c>
    </row>
    <row r="14" spans="1:5" x14ac:dyDescent="0.35">
      <c r="A14" t="s">
        <v>73</v>
      </c>
      <c r="B14" t="s">
        <v>74</v>
      </c>
      <c r="C14" t="s">
        <v>112</v>
      </c>
      <c r="D14" t="s">
        <v>128</v>
      </c>
      <c r="E14" t="s">
        <v>39</v>
      </c>
    </row>
    <row r="15" spans="1:5" x14ac:dyDescent="0.35">
      <c r="A15" t="s">
        <v>78</v>
      </c>
      <c r="B15" t="s">
        <v>79</v>
      </c>
      <c r="C15" t="s">
        <v>114</v>
      </c>
      <c r="D15" t="s">
        <v>115</v>
      </c>
      <c r="E15" t="s">
        <v>129</v>
      </c>
    </row>
    <row r="16" spans="1:5" x14ac:dyDescent="0.35">
      <c r="A16" t="s">
        <v>83</v>
      </c>
      <c r="B16" t="s">
        <v>84</v>
      </c>
      <c r="C16" t="s">
        <v>117</v>
      </c>
      <c r="D16" t="s">
        <v>130</v>
      </c>
      <c r="E16" t="s">
        <v>131</v>
      </c>
    </row>
    <row r="17" spans="1:5" x14ac:dyDescent="0.35">
      <c r="A17" t="s">
        <v>87</v>
      </c>
      <c r="B17" t="s">
        <v>88</v>
      </c>
      <c r="C17" t="s">
        <v>114</v>
      </c>
      <c r="D17" t="s">
        <v>115</v>
      </c>
      <c r="E17" t="s">
        <v>132</v>
      </c>
    </row>
    <row r="18" spans="1:5" x14ac:dyDescent="0.35">
      <c r="A18" t="s">
        <v>92</v>
      </c>
      <c r="B18" t="s">
        <v>93</v>
      </c>
      <c r="C18" t="s">
        <v>114</v>
      </c>
      <c r="D18" t="s">
        <v>121</v>
      </c>
      <c r="E18" t="s">
        <v>122</v>
      </c>
    </row>
    <row r="19" spans="1:5" x14ac:dyDescent="0.35">
      <c r="A19" t="s">
        <v>96</v>
      </c>
      <c r="B19" t="s">
        <v>97</v>
      </c>
      <c r="C19" t="s">
        <v>114</v>
      </c>
      <c r="D19" t="s">
        <v>121</v>
      </c>
      <c r="E19" t="s">
        <v>122</v>
      </c>
    </row>
    <row r="20" spans="1:5" x14ac:dyDescent="0.35">
      <c r="A20" t="s">
        <v>99</v>
      </c>
      <c r="B20" t="s">
        <v>100</v>
      </c>
      <c r="C20" t="s">
        <v>117</v>
      </c>
      <c r="D20" t="s">
        <v>133</v>
      </c>
      <c r="E20" t="s">
        <v>134</v>
      </c>
    </row>
    <row r="21" spans="1:5" x14ac:dyDescent="0.35">
      <c r="A21" t="s">
        <v>104</v>
      </c>
      <c r="B21" t="s">
        <v>105</v>
      </c>
      <c r="C21" t="s">
        <v>117</v>
      </c>
      <c r="D21" t="s">
        <v>135</v>
      </c>
      <c r="E21" t="s">
        <v>136</v>
      </c>
    </row>
    <row r="22" spans="1:5" x14ac:dyDescent="0.35">
      <c r="A22" t="s">
        <v>107</v>
      </c>
      <c r="B22" t="s">
        <v>108</v>
      </c>
      <c r="C22" t="s">
        <v>117</v>
      </c>
      <c r="D22" t="s">
        <v>137</v>
      </c>
      <c r="E22" t="s">
        <v>136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D3CCF-D84D-4C7B-B22F-5E9B0C359111}">
  <dimension ref="A1:B13"/>
  <sheetViews>
    <sheetView workbookViewId="0">
      <selection activeCell="E13" sqref="E13"/>
    </sheetView>
  </sheetViews>
  <sheetFormatPr defaultRowHeight="14.5" x14ac:dyDescent="0.35"/>
  <cols>
    <col min="1" max="1" width="46.90625" bestFit="1" customWidth="1"/>
  </cols>
  <sheetData>
    <row r="1" spans="1:2" x14ac:dyDescent="0.35">
      <c r="A1" t="s">
        <v>138</v>
      </c>
      <c r="B1" t="s">
        <v>139</v>
      </c>
    </row>
    <row r="2" spans="1:2" x14ac:dyDescent="0.35">
      <c r="A2" t="s">
        <v>140</v>
      </c>
      <c r="B2">
        <f>COUNTA('01 Source Register'!C2:C22)</f>
        <v>21</v>
      </c>
    </row>
    <row r="3" spans="1:2" x14ac:dyDescent="0.35">
      <c r="A3" t="s">
        <v>141</v>
      </c>
      <c r="B3">
        <f>COUNTIF('01 Source Register'!F2:F22,"&lt;&gt;None")</f>
        <v>16</v>
      </c>
    </row>
    <row r="4" spans="1:2" x14ac:dyDescent="0.35">
      <c r="A4" t="s">
        <v>142</v>
      </c>
      <c r="B4">
        <f>COUNTIF('01 Source Register'!F2:F22,"None")</f>
        <v>5</v>
      </c>
    </row>
    <row r="5" spans="1:2" x14ac:dyDescent="0.35">
      <c r="A5" t="s">
        <v>143</v>
      </c>
      <c r="B5">
        <f>COUNTIF('01 Source Register'!F2:F22,"Essential")</f>
        <v>13</v>
      </c>
    </row>
    <row r="6" spans="1:2" x14ac:dyDescent="0.35">
      <c r="A6" t="s">
        <v>144</v>
      </c>
      <c r="B6">
        <f>COUNTIF('01 Source Register'!F2:F22,"Leadership")</f>
        <v>1</v>
      </c>
    </row>
    <row r="7" spans="1:2" x14ac:dyDescent="0.35">
      <c r="A7" t="s">
        <v>32</v>
      </c>
      <c r="B7">
        <f>COUNTIF('01 Source Register'!F2:F22,"Essential and Leadership")</f>
        <v>2</v>
      </c>
    </row>
    <row r="8" spans="1:2" x14ac:dyDescent="0.35">
      <c r="A8" t="s">
        <v>145</v>
      </c>
      <c r="B8">
        <f>COUNTIF('02 Mapping'!C2:C22,"Yes")</f>
        <v>5</v>
      </c>
    </row>
    <row r="9" spans="1:2" x14ac:dyDescent="0.35">
      <c r="A9" t="s">
        <v>146</v>
      </c>
      <c r="B9">
        <f>COUNTIF('02 Mapping'!C2:C22,"Partial")</f>
        <v>5</v>
      </c>
    </row>
    <row r="10" spans="1:2" x14ac:dyDescent="0.35">
      <c r="A10" t="s">
        <v>147</v>
      </c>
      <c r="B10">
        <f>COUNTIF('02 Mapping'!C2:C22,"No")</f>
        <v>11</v>
      </c>
    </row>
    <row r="11" spans="1:2" x14ac:dyDescent="0.35">
      <c r="A11" t="s">
        <v>148</v>
      </c>
      <c r="B11">
        <f>(B8+B9)/B2</f>
        <v>0.47619047619047616</v>
      </c>
    </row>
    <row r="12" spans="1:2" x14ac:dyDescent="0.35">
      <c r="A12" t="s">
        <v>149</v>
      </c>
      <c r="B12" cm="1">
        <f t="array" ref="B12">SUMPRODUCT(('01 Source Register'!F2:F22&lt;&gt;"None")*(('02 Mapping'!C2:C22="Yes")+('02 Mapping'!C2:C22="Partial")))</f>
        <v>9</v>
      </c>
    </row>
    <row r="13" spans="1:2" x14ac:dyDescent="0.35">
      <c r="A13" t="s">
        <v>150</v>
      </c>
      <c r="B13">
        <f>B12/B3</f>
        <v>0.5625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17C11-8F84-4FFB-BC54-CB8D6B14B002}">
  <dimension ref="A1:C12"/>
  <sheetViews>
    <sheetView workbookViewId="0">
      <selection activeCell="A2" sqref="A2:XFD2"/>
    </sheetView>
  </sheetViews>
  <sheetFormatPr defaultRowHeight="14.5" x14ac:dyDescent="0.35"/>
  <cols>
    <col min="1" max="1" width="30" bestFit="1" customWidth="1"/>
    <col min="2" max="2" width="183" bestFit="1" customWidth="1"/>
    <col min="3" max="3" width="18.453125" bestFit="1" customWidth="1"/>
  </cols>
  <sheetData>
    <row r="1" spans="1:3" x14ac:dyDescent="0.35">
      <c r="A1" t="s">
        <v>151</v>
      </c>
      <c r="B1" t="s">
        <v>152</v>
      </c>
      <c r="C1" t="s">
        <v>153</v>
      </c>
    </row>
    <row r="2" spans="1:3" x14ac:dyDescent="0.35">
      <c r="A2" t="s">
        <v>154</v>
      </c>
      <c r="B2" t="s">
        <v>155</v>
      </c>
      <c r="C2" t="s">
        <v>156</v>
      </c>
    </row>
    <row r="3" spans="1:3" x14ac:dyDescent="0.35">
      <c r="A3" t="s">
        <v>157</v>
      </c>
      <c r="B3" t="s">
        <v>158</v>
      </c>
      <c r="C3" t="s">
        <v>156</v>
      </c>
    </row>
    <row r="4" spans="1:3" x14ac:dyDescent="0.35">
      <c r="A4" t="s">
        <v>159</v>
      </c>
      <c r="B4" t="s">
        <v>160</v>
      </c>
      <c r="C4" t="s">
        <v>156</v>
      </c>
    </row>
    <row r="5" spans="1:3" x14ac:dyDescent="0.35">
      <c r="A5" t="s">
        <v>161</v>
      </c>
      <c r="B5" t="s">
        <v>162</v>
      </c>
      <c r="C5" t="s">
        <v>163</v>
      </c>
    </row>
    <row r="6" spans="1:3" x14ac:dyDescent="0.35">
      <c r="A6" t="s">
        <v>164</v>
      </c>
      <c r="B6" t="s">
        <v>165</v>
      </c>
      <c r="C6" t="s">
        <v>163</v>
      </c>
    </row>
    <row r="7" spans="1:3" x14ac:dyDescent="0.35">
      <c r="A7" t="s">
        <v>166</v>
      </c>
      <c r="B7" t="s">
        <v>167</v>
      </c>
      <c r="C7">
        <v>49</v>
      </c>
    </row>
    <row r="8" spans="1:3" x14ac:dyDescent="0.35">
      <c r="A8" t="s">
        <v>168</v>
      </c>
      <c r="B8" t="s">
        <v>169</v>
      </c>
      <c r="C8" t="s">
        <v>170</v>
      </c>
    </row>
    <row r="9" spans="1:3" x14ac:dyDescent="0.35">
      <c r="A9" t="s">
        <v>171</v>
      </c>
      <c r="B9" t="s">
        <v>172</v>
      </c>
      <c r="C9" t="s">
        <v>170</v>
      </c>
    </row>
    <row r="10" spans="1:3" x14ac:dyDescent="0.35">
      <c r="A10" t="s">
        <v>173</v>
      </c>
      <c r="B10" t="s">
        <v>174</v>
      </c>
      <c r="C10">
        <v>49</v>
      </c>
    </row>
    <row r="11" spans="1:3" x14ac:dyDescent="0.35">
      <c r="A11" t="s">
        <v>175</v>
      </c>
      <c r="B11" t="s">
        <v>176</v>
      </c>
      <c r="C11">
        <v>48</v>
      </c>
    </row>
    <row r="12" spans="1:3" x14ac:dyDescent="0.35">
      <c r="A12" t="s">
        <v>177</v>
      </c>
      <c r="B12" t="s">
        <v>178</v>
      </c>
      <c r="C12" t="s">
        <v>179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01 Source Register</vt:lpstr>
      <vt:lpstr>02 Mapping</vt:lpstr>
      <vt:lpstr>03 Coverage</vt:lpstr>
      <vt:lpstr>04 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Ijlan Ibrahim</dc:creator>
  <cp:lastModifiedBy>Ijlan Ibrahim</cp:lastModifiedBy>
  <dcterms:created xsi:type="dcterms:W3CDTF">2026-10-10T23:32:48Z</dcterms:created>
  <dcterms:modified xsi:type="dcterms:W3CDTF">2026-10-13T20:06:54Z</dcterms:modified>
</cp:coreProperties>
</file>